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"/>
    </mc:Choice>
  </mc:AlternateContent>
  <xr:revisionPtr revIDLastSave="0" documentId="13_ncr:1_{16660849-AC73-413B-A22C-37523DA4888E}" xr6:coauthVersionLast="47" xr6:coauthVersionMax="47" xr10:uidLastSave="{00000000-0000-0000-0000-000000000000}"/>
  <bookViews>
    <workbookView xWindow="-120" yWindow="-120" windowWidth="29040" windowHeight="15840" xr2:uid="{299C18BC-42DC-4A8B-9F7D-CF2F785B43FA}"/>
  </bookViews>
  <sheets>
    <sheet name="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3" i="1" l="1"/>
  <c r="E43" i="1"/>
  <c r="M43" i="1"/>
  <c r="O43" i="1"/>
  <c r="W43" i="1"/>
  <c r="Y43" i="1"/>
  <c r="AF43" i="1"/>
  <c r="AH43" i="1"/>
  <c r="C44" i="1"/>
  <c r="E44" i="1"/>
  <c r="M44" i="1"/>
  <c r="O44" i="1"/>
  <c r="Q44" i="1"/>
  <c r="W44" i="1"/>
  <c r="Y44" i="1"/>
  <c r="AF44" i="1"/>
  <c r="AH44" i="1"/>
  <c r="AH4" i="1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3" i="1"/>
  <c r="AF4" i="1"/>
  <c r="AF5" i="1"/>
  <c r="AF6" i="1"/>
  <c r="AF7" i="1"/>
  <c r="AF8" i="1"/>
  <c r="AF9" i="1"/>
  <c r="AF10" i="1"/>
  <c r="AJ10" i="1" s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J26" i="1" s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J42" i="1" s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J60" i="1" s="1"/>
  <c r="AF61" i="1"/>
  <c r="AF62" i="1"/>
  <c r="AF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3" i="1"/>
  <c r="W4" i="1"/>
  <c r="W5" i="1"/>
  <c r="W6" i="1"/>
  <c r="W7" i="1"/>
  <c r="W8" i="1"/>
  <c r="W9" i="1"/>
  <c r="W10" i="1"/>
  <c r="W11" i="1"/>
  <c r="W12" i="1"/>
  <c r="W13" i="1"/>
  <c r="W14" i="1"/>
  <c r="W15" i="1"/>
  <c r="AA15" i="1" s="1"/>
  <c r="W16" i="1"/>
  <c r="W17" i="1"/>
  <c r="W18" i="1"/>
  <c r="W19" i="1"/>
  <c r="W20" i="1"/>
  <c r="W21" i="1"/>
  <c r="AA21" i="1" s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AA37" i="1" s="1"/>
  <c r="W38" i="1"/>
  <c r="W39" i="1"/>
  <c r="W40" i="1"/>
  <c r="W41" i="1"/>
  <c r="W42" i="1"/>
  <c r="W45" i="1"/>
  <c r="W46" i="1"/>
  <c r="W47" i="1"/>
  <c r="W48" i="1"/>
  <c r="W49" i="1"/>
  <c r="AA49" i="1" s="1"/>
  <c r="W50" i="1"/>
  <c r="W51" i="1"/>
  <c r="W52" i="1"/>
  <c r="W53" i="1"/>
  <c r="W54" i="1"/>
  <c r="W55" i="1"/>
  <c r="AA55" i="1" s="1"/>
  <c r="W56" i="1"/>
  <c r="W57" i="1"/>
  <c r="W58" i="1"/>
  <c r="W59" i="1"/>
  <c r="W60" i="1"/>
  <c r="W61" i="1"/>
  <c r="W62" i="1"/>
  <c r="W63" i="1"/>
  <c r="W64" i="1"/>
  <c r="W65" i="1"/>
  <c r="AA65" i="1" s="1"/>
  <c r="W66" i="1"/>
  <c r="W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3" i="1"/>
  <c r="M4" i="1"/>
  <c r="Q4" i="1" s="1"/>
  <c r="M5" i="1"/>
  <c r="M6" i="1"/>
  <c r="M7" i="1"/>
  <c r="M8" i="1"/>
  <c r="M9" i="1"/>
  <c r="Q9" i="1" s="1"/>
  <c r="M10" i="1"/>
  <c r="M11" i="1"/>
  <c r="M12" i="1"/>
  <c r="M13" i="1"/>
  <c r="M14" i="1"/>
  <c r="M15" i="1"/>
  <c r="M16" i="1"/>
  <c r="M17" i="1"/>
  <c r="M18" i="1"/>
  <c r="M19" i="1"/>
  <c r="M20" i="1"/>
  <c r="Q20" i="1" s="1"/>
  <c r="M21" i="1"/>
  <c r="M22" i="1"/>
  <c r="M23" i="1"/>
  <c r="M24" i="1"/>
  <c r="M25" i="1"/>
  <c r="Q25" i="1" s="1"/>
  <c r="M26" i="1"/>
  <c r="M27" i="1"/>
  <c r="M28" i="1"/>
  <c r="M29" i="1"/>
  <c r="M30" i="1"/>
  <c r="M31" i="1"/>
  <c r="M32" i="1"/>
  <c r="M33" i="1"/>
  <c r="M34" i="1"/>
  <c r="M35" i="1"/>
  <c r="M36" i="1"/>
  <c r="Q36" i="1" s="1"/>
  <c r="M37" i="1"/>
  <c r="M38" i="1"/>
  <c r="M39" i="1"/>
  <c r="M40" i="1"/>
  <c r="M41" i="1"/>
  <c r="Q41" i="1" s="1"/>
  <c r="M42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Q59" i="1" s="1"/>
  <c r="M60" i="1"/>
  <c r="M61" i="1"/>
  <c r="M62" i="1"/>
  <c r="M63" i="1"/>
  <c r="M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3" i="1"/>
  <c r="AA53" i="1" l="1"/>
  <c r="AA35" i="1"/>
  <c r="AA19" i="1"/>
  <c r="G33" i="1"/>
  <c r="I33" i="1" s="1"/>
  <c r="G17" i="1"/>
  <c r="I17" i="1" s="1"/>
  <c r="G43" i="1"/>
  <c r="I43" i="1" s="1"/>
  <c r="Q57" i="1"/>
  <c r="Q39" i="1"/>
  <c r="Q23" i="1"/>
  <c r="Q7" i="1"/>
  <c r="AJ43" i="1"/>
  <c r="G32" i="1"/>
  <c r="I32" i="1" s="1"/>
  <c r="AJ58" i="1"/>
  <c r="AJ44" i="1"/>
  <c r="AA63" i="1"/>
  <c r="AA29" i="1"/>
  <c r="AA47" i="1"/>
  <c r="AA13" i="1"/>
  <c r="AA5" i="1"/>
  <c r="AA52" i="1"/>
  <c r="AA34" i="1"/>
  <c r="AA18" i="1"/>
  <c r="Q58" i="1"/>
  <c r="Q24" i="1"/>
  <c r="AA64" i="1"/>
  <c r="AA48" i="1"/>
  <c r="AA30" i="1"/>
  <c r="AA14" i="1"/>
  <c r="G28" i="1"/>
  <c r="I28" i="1" s="1"/>
  <c r="G12" i="1"/>
  <c r="Q53" i="1"/>
  <c r="Q35" i="1"/>
  <c r="Q19" i="1"/>
  <c r="AA62" i="1"/>
  <c r="AA46" i="1"/>
  <c r="AA28" i="1"/>
  <c r="AA12" i="1"/>
  <c r="Q52" i="1"/>
  <c r="Q34" i="1"/>
  <c r="Q18" i="1"/>
  <c r="AJ35" i="1"/>
  <c r="AJ19" i="1"/>
  <c r="AJ34" i="1"/>
  <c r="AJ18" i="1"/>
  <c r="AJ51" i="1"/>
  <c r="AA54" i="1"/>
  <c r="AA36" i="1"/>
  <c r="AA20" i="1"/>
  <c r="AA4" i="1"/>
  <c r="G18" i="1"/>
  <c r="Q55" i="1"/>
  <c r="Q37" i="1"/>
  <c r="Q21" i="1"/>
  <c r="Q5" i="1"/>
  <c r="Q50" i="1"/>
  <c r="AA59" i="1"/>
  <c r="AA41" i="1"/>
  <c r="AA25" i="1"/>
  <c r="AA9" i="1"/>
  <c r="G54" i="1"/>
  <c r="I54" i="1" s="1"/>
  <c r="AA58" i="1"/>
  <c r="AA40" i="1"/>
  <c r="AA24" i="1"/>
  <c r="AA8" i="1"/>
  <c r="AJ50" i="1"/>
  <c r="G44" i="1"/>
  <c r="I44" i="1" s="1"/>
  <c r="G57" i="1"/>
  <c r="I57" i="1" s="1"/>
  <c r="G56" i="1"/>
  <c r="I56" i="1" s="1"/>
  <c r="Q46" i="1"/>
  <c r="Q28" i="1"/>
  <c r="Q12" i="1"/>
  <c r="AJ29" i="1"/>
  <c r="AJ13" i="1"/>
  <c r="AJ62" i="1"/>
  <c r="AJ46" i="1"/>
  <c r="AJ28" i="1"/>
  <c r="AJ12" i="1"/>
  <c r="AA43" i="1"/>
  <c r="AA3" i="1"/>
  <c r="AA51" i="1"/>
  <c r="AA33" i="1"/>
  <c r="AA17" i="1"/>
  <c r="G3" i="1"/>
  <c r="I3" i="1" s="1"/>
  <c r="G49" i="1"/>
  <c r="I49" i="1" s="1"/>
  <c r="G64" i="1"/>
  <c r="G48" i="1"/>
  <c r="I48" i="1" s="1"/>
  <c r="AA44" i="1"/>
  <c r="G27" i="1"/>
  <c r="I27" i="1" s="1"/>
  <c r="G11" i="1"/>
  <c r="I11" i="1" s="1"/>
  <c r="AA61" i="1"/>
  <c r="AA45" i="1"/>
  <c r="AA27" i="1"/>
  <c r="AA11" i="1"/>
  <c r="G60" i="1"/>
  <c r="G38" i="1"/>
  <c r="I38" i="1" s="1"/>
  <c r="G22" i="1"/>
  <c r="I22" i="1" s="1"/>
  <c r="Q51" i="1"/>
  <c r="AA60" i="1"/>
  <c r="AA42" i="1"/>
  <c r="AA26" i="1"/>
  <c r="AA10" i="1"/>
  <c r="G25" i="1"/>
  <c r="I25" i="1" s="1"/>
  <c r="G9" i="1"/>
  <c r="I9" i="1" s="1"/>
  <c r="G41" i="1"/>
  <c r="G40" i="1"/>
  <c r="I40" i="1" s="1"/>
  <c r="AA57" i="1"/>
  <c r="AA39" i="1"/>
  <c r="AA23" i="1"/>
  <c r="AA7" i="1"/>
  <c r="G59" i="1"/>
  <c r="I59" i="1" s="1"/>
  <c r="AA56" i="1"/>
  <c r="AA38" i="1"/>
  <c r="AA22" i="1"/>
  <c r="AA6" i="1"/>
  <c r="AJ14" i="1"/>
  <c r="G8" i="1"/>
  <c r="I8" i="1" s="1"/>
  <c r="G24" i="1"/>
  <c r="I24" i="1" s="1"/>
  <c r="Q27" i="1"/>
  <c r="Q11" i="1"/>
  <c r="Q60" i="1"/>
  <c r="AJ61" i="1"/>
  <c r="AJ45" i="1"/>
  <c r="AJ27" i="1"/>
  <c r="AJ11" i="1"/>
  <c r="AJ59" i="1"/>
  <c r="Q43" i="1"/>
  <c r="AA66" i="1"/>
  <c r="AA50" i="1"/>
  <c r="AA32" i="1"/>
  <c r="AA16" i="1"/>
  <c r="AJ48" i="1"/>
  <c r="G58" i="1"/>
  <c r="I58" i="1" s="1"/>
  <c r="G42" i="1"/>
  <c r="I42" i="1" s="1"/>
  <c r="G26" i="1"/>
  <c r="I26" i="1" s="1"/>
  <c r="G6" i="1"/>
  <c r="I6" i="1" s="1"/>
  <c r="Q49" i="1"/>
  <c r="Q33" i="1"/>
  <c r="Q17" i="1"/>
  <c r="G7" i="1"/>
  <c r="I7" i="1" s="1"/>
  <c r="AJ41" i="1"/>
  <c r="AJ9" i="1"/>
  <c r="G52" i="1"/>
  <c r="I52" i="1" s="1"/>
  <c r="G36" i="1"/>
  <c r="I36" i="1" s="1"/>
  <c r="G20" i="1"/>
  <c r="I20" i="1" s="1"/>
  <c r="G4" i="1"/>
  <c r="I4" i="1" s="1"/>
  <c r="G23" i="1"/>
  <c r="I23" i="1" s="1"/>
  <c r="AJ25" i="1"/>
  <c r="Q62" i="1"/>
  <c r="Q30" i="1"/>
  <c r="Q14" i="1"/>
  <c r="G55" i="1"/>
  <c r="I55" i="1" s="1"/>
  <c r="AJ57" i="1"/>
  <c r="Q61" i="1"/>
  <c r="Q45" i="1"/>
  <c r="Q29" i="1"/>
  <c r="Q13" i="1"/>
  <c r="AJ54" i="1"/>
  <c r="AJ38" i="1"/>
  <c r="AJ22" i="1"/>
  <c r="AJ6" i="1"/>
  <c r="G39" i="1"/>
  <c r="I39" i="1" s="1"/>
  <c r="G15" i="1"/>
  <c r="I15" i="1" s="1"/>
  <c r="AJ53" i="1"/>
  <c r="AJ37" i="1"/>
  <c r="AJ21" i="1"/>
  <c r="AJ5" i="1"/>
  <c r="G62" i="1"/>
  <c r="G46" i="1"/>
  <c r="I46" i="1" s="1"/>
  <c r="G30" i="1"/>
  <c r="I30" i="1" s="1"/>
  <c r="G14" i="1"/>
  <c r="I14" i="1" s="1"/>
  <c r="AJ30" i="1"/>
  <c r="G61" i="1"/>
  <c r="G45" i="1"/>
  <c r="I45" i="1" s="1"/>
  <c r="G29" i="1"/>
  <c r="I29" i="1" s="1"/>
  <c r="G13" i="1"/>
  <c r="I13" i="1" s="1"/>
  <c r="Q56" i="1"/>
  <c r="Q40" i="1"/>
  <c r="Q8" i="1"/>
  <c r="AJ32" i="1"/>
  <c r="AJ16" i="1"/>
  <c r="AJ3" i="1"/>
  <c r="AJ47" i="1"/>
  <c r="AJ31" i="1"/>
  <c r="AJ15" i="1"/>
  <c r="G5" i="1"/>
  <c r="I5" i="1" s="1"/>
  <c r="Q3" i="1"/>
  <c r="Q48" i="1"/>
  <c r="Q32" i="1"/>
  <c r="Q16" i="1"/>
  <c r="G21" i="1"/>
  <c r="I21" i="1" s="1"/>
  <c r="G34" i="1"/>
  <c r="I34" i="1" s="1"/>
  <c r="Q63" i="1"/>
  <c r="Q47" i="1"/>
  <c r="Q31" i="1"/>
  <c r="Q15" i="1"/>
  <c r="AJ56" i="1"/>
  <c r="AJ40" i="1"/>
  <c r="AJ24" i="1"/>
  <c r="AJ8" i="1"/>
  <c r="AJ52" i="1"/>
  <c r="AJ36" i="1"/>
  <c r="AJ20" i="1"/>
  <c r="AJ4" i="1"/>
  <c r="G53" i="1"/>
  <c r="I53" i="1" s="1"/>
  <c r="G50" i="1"/>
  <c r="I50" i="1" s="1"/>
  <c r="G51" i="1"/>
  <c r="I51" i="1" s="1"/>
  <c r="G35" i="1"/>
  <c r="I35" i="1" s="1"/>
  <c r="G19" i="1"/>
  <c r="I19" i="1" s="1"/>
  <c r="AJ55" i="1"/>
  <c r="AJ39" i="1"/>
  <c r="AJ23" i="1"/>
  <c r="AJ7" i="1"/>
  <c r="AA31" i="1"/>
  <c r="G37" i="1"/>
  <c r="I37" i="1" s="1"/>
  <c r="AJ49" i="1"/>
  <c r="AJ33" i="1"/>
  <c r="AJ17" i="1"/>
  <c r="G16" i="1"/>
  <c r="I16" i="1" s="1"/>
  <c r="G63" i="1"/>
  <c r="G47" i="1"/>
  <c r="I47" i="1" s="1"/>
  <c r="G31" i="1"/>
  <c r="I31" i="1" s="1"/>
  <c r="Q42" i="1"/>
  <c r="Q26" i="1"/>
  <c r="Q10" i="1"/>
  <c r="Q54" i="1"/>
  <c r="Q38" i="1"/>
  <c r="Q22" i="1"/>
  <c r="Q6" i="1"/>
  <c r="G10" i="1"/>
  <c r="I10" i="1" s="1"/>
</calcChain>
</file>

<file path=xl/sharedStrings.xml><?xml version="1.0" encoding="utf-8"?>
<sst xmlns="http://schemas.openxmlformats.org/spreadsheetml/2006/main" count="285" uniqueCount="150">
  <si>
    <t>L%</t>
  </si>
  <si>
    <t>Pmax</t>
  </si>
  <si>
    <t>A1</t>
  </si>
  <si>
    <t>A3</t>
  </si>
  <si>
    <t>A7</t>
  </si>
  <si>
    <t>A11</t>
  </si>
  <si>
    <t>A13</t>
  </si>
  <si>
    <t>A15</t>
  </si>
  <si>
    <t>B5</t>
  </si>
  <si>
    <t>B10</t>
  </si>
  <si>
    <t>C1</t>
  </si>
  <si>
    <t>C3</t>
  </si>
  <si>
    <t>C5</t>
  </si>
  <si>
    <t>C7</t>
  </si>
  <si>
    <t>C9</t>
  </si>
  <si>
    <t>C11</t>
  </si>
  <si>
    <t>C13</t>
  </si>
  <si>
    <t>C15</t>
  </si>
  <si>
    <t>D8</t>
  </si>
  <si>
    <t>D10</t>
  </si>
  <si>
    <t>E1</t>
  </si>
  <si>
    <t>E3</t>
  </si>
  <si>
    <t>E5</t>
  </si>
  <si>
    <t>E11</t>
  </si>
  <si>
    <t>E13</t>
  </si>
  <si>
    <t>E15</t>
  </si>
  <si>
    <t>F5</t>
  </si>
  <si>
    <t>F7</t>
  </si>
  <si>
    <t>F9</t>
  </si>
  <si>
    <t>G1</t>
  </si>
  <si>
    <t>G3</t>
  </si>
  <si>
    <t>G7</t>
  </si>
  <si>
    <t>G11</t>
  </si>
  <si>
    <t>G12</t>
  </si>
  <si>
    <t>G15</t>
  </si>
  <si>
    <t>H6</t>
  </si>
  <si>
    <t>H9</t>
  </si>
  <si>
    <t>I3</t>
  </si>
  <si>
    <t>I5</t>
  </si>
  <si>
    <t>I8</t>
  </si>
  <si>
    <t>I12</t>
  </si>
  <si>
    <t>I15</t>
  </si>
  <si>
    <t>J10</t>
  </si>
  <si>
    <t>J1</t>
  </si>
  <si>
    <t>K1</t>
  </si>
  <si>
    <t>K6</t>
  </si>
  <si>
    <t>K8</t>
  </si>
  <si>
    <t>K10</t>
  </si>
  <si>
    <t>K12</t>
  </si>
  <si>
    <t>L3</t>
  </si>
  <si>
    <t>L9</t>
  </si>
  <si>
    <t>M1</t>
  </si>
  <si>
    <t>M3</t>
  </si>
  <si>
    <t>M5</t>
  </si>
  <si>
    <t>M7</t>
  </si>
  <si>
    <t>M10</t>
  </si>
  <si>
    <t>M12</t>
  </si>
  <si>
    <t>N14</t>
  </si>
  <si>
    <t>O1</t>
  </si>
  <si>
    <t>O3</t>
  </si>
  <si>
    <t>O6</t>
  </si>
  <si>
    <t>O8</t>
  </si>
  <si>
    <t>O10</t>
  </si>
  <si>
    <t>O12</t>
  </si>
  <si>
    <t>X  (um)</t>
  </si>
  <si>
    <t>Y (um)</t>
  </si>
  <si>
    <t>Sample A</t>
  </si>
  <si>
    <t>Electrode Points</t>
  </si>
  <si>
    <t>X (um)</t>
  </si>
  <si>
    <t>Sample B</t>
  </si>
  <si>
    <t xml:space="preserve">  Electrode Points</t>
  </si>
  <si>
    <t>A5</t>
  </si>
  <si>
    <t>B9</t>
  </si>
  <si>
    <t>B14</t>
  </si>
  <si>
    <t>E2</t>
  </si>
  <si>
    <t>E7</t>
  </si>
  <si>
    <t>F2</t>
  </si>
  <si>
    <t>F14</t>
  </si>
  <si>
    <t>G10</t>
  </si>
  <si>
    <t>H5</t>
  </si>
  <si>
    <t>H13</t>
  </si>
  <si>
    <t>I1</t>
  </si>
  <si>
    <t>I7</t>
  </si>
  <si>
    <t>I9</t>
  </si>
  <si>
    <t>I11</t>
  </si>
  <si>
    <t>I13</t>
  </si>
  <si>
    <t>K4</t>
  </si>
  <si>
    <t>K5</t>
  </si>
  <si>
    <t>K7</t>
  </si>
  <si>
    <t>K9</t>
  </si>
  <si>
    <t>K15</t>
  </si>
  <si>
    <t>L11</t>
  </si>
  <si>
    <t>L14</t>
  </si>
  <si>
    <t>M9</t>
  </si>
  <si>
    <t>M15</t>
  </si>
  <si>
    <t>N7</t>
  </si>
  <si>
    <t>N11</t>
  </si>
  <si>
    <t>O5</t>
  </si>
  <si>
    <t>O7</t>
  </si>
  <si>
    <t>O9</t>
  </si>
  <si>
    <t>O14</t>
  </si>
  <si>
    <t>D5</t>
  </si>
  <si>
    <t>Sample C</t>
  </si>
  <si>
    <t>Sample D</t>
  </si>
  <si>
    <t>D3</t>
  </si>
  <si>
    <t>D7</t>
  </si>
  <si>
    <t>D12</t>
  </si>
  <si>
    <t>E10</t>
  </si>
  <si>
    <t>F4</t>
  </si>
  <si>
    <t>F10</t>
  </si>
  <si>
    <t>F12</t>
  </si>
  <si>
    <t>G5</t>
  </si>
  <si>
    <t>G9</t>
  </si>
  <si>
    <t>G13</t>
  </si>
  <si>
    <t>H3</t>
  </si>
  <si>
    <t>H7</t>
  </si>
  <si>
    <t>H15</t>
  </si>
  <si>
    <t>K3</t>
  </si>
  <si>
    <t>K11</t>
  </si>
  <si>
    <t>K13</t>
  </si>
  <si>
    <t>L7</t>
  </si>
  <si>
    <t>M6</t>
  </si>
  <si>
    <t>M13</t>
  </si>
  <si>
    <t>N12</t>
  </si>
  <si>
    <t>O4</t>
  </si>
  <si>
    <t>O11</t>
  </si>
  <si>
    <t>O15</t>
  </si>
  <si>
    <t>A9</t>
  </si>
  <si>
    <t>B3</t>
  </si>
  <si>
    <t>B6</t>
  </si>
  <si>
    <t>B12</t>
  </si>
  <si>
    <t>F3</t>
  </si>
  <si>
    <t>F8</t>
  </si>
  <si>
    <t>H1</t>
  </si>
  <si>
    <t>H14</t>
  </si>
  <si>
    <t>J3</t>
  </si>
  <si>
    <t>J8</t>
  </si>
  <si>
    <t>J11</t>
  </si>
  <si>
    <t>L1</t>
  </si>
  <si>
    <t>N4</t>
  </si>
  <si>
    <t>N9</t>
  </si>
  <si>
    <t>N15</t>
  </si>
  <si>
    <t>O13</t>
  </si>
  <si>
    <t>D6</t>
  </si>
  <si>
    <t>D15</t>
  </si>
  <si>
    <t>X/2</t>
  </si>
  <si>
    <t>Y/2</t>
  </si>
  <si>
    <t>Area (cm2)</t>
  </si>
  <si>
    <t>True Pmax</t>
  </si>
  <si>
    <t>Measured Pmax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</si>
</sst>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883DA-EC02-4D90-B1AA-DDE3F4DBD2D3}">
  <dimension ref="A1:AK66"/>
  <sheetViews>
    <sheetView tabSelected="1" zoomScale="114" workbookViewId="0">
      <selection activeCell="J63" sqref="J63"/>
    </sheetView>
  </sheetViews>
  <sheetFormatPr defaultRowHeight="15" x14ac:dyDescent="0.25"/>
  <cols>
    <col min="1" max="1" width="13.7109375" style="1" customWidth="1"/>
    <col min="2" max="6" width="8.85546875" style="1"/>
    <col min="7" max="7" width="10.28515625" customWidth="1"/>
    <col min="8" max="8" width="20.140625" customWidth="1"/>
    <col min="9" max="9" width="10.140625" customWidth="1"/>
    <col min="11" max="11" width="14.7109375" style="1" bestFit="1" customWidth="1"/>
    <col min="12" max="16" width="8.85546875" style="1"/>
    <col min="18" max="18" width="16" customWidth="1"/>
    <col min="21" max="21" width="14.7109375" style="1" bestFit="1" customWidth="1"/>
    <col min="22" max="25" width="8.85546875" style="4"/>
    <col min="26" max="26" width="8.85546875" style="1"/>
    <col min="30" max="30" width="14.7109375" style="1" bestFit="1" customWidth="1"/>
    <col min="31" max="34" width="8.85546875" style="4"/>
    <col min="35" max="35" width="8.85546875" style="1"/>
  </cols>
  <sheetData>
    <row r="1" spans="1:37" x14ac:dyDescent="0.25">
      <c r="A1" s="7" t="s">
        <v>66</v>
      </c>
      <c r="B1" s="7"/>
      <c r="C1" s="7"/>
      <c r="D1" s="7"/>
      <c r="E1" s="7"/>
      <c r="F1" s="7"/>
      <c r="G1" s="7"/>
      <c r="H1" s="1"/>
      <c r="I1" s="1"/>
      <c r="K1" s="7" t="s">
        <v>69</v>
      </c>
      <c r="L1" s="7"/>
      <c r="M1" s="7"/>
      <c r="N1" s="7"/>
      <c r="O1" s="7"/>
      <c r="P1" s="7"/>
      <c r="Q1" s="7"/>
      <c r="R1" s="7"/>
      <c r="S1" s="7"/>
      <c r="U1" s="7" t="s">
        <v>102</v>
      </c>
      <c r="V1" s="7"/>
      <c r="W1" s="7"/>
      <c r="X1" s="7"/>
      <c r="Y1" s="7"/>
      <c r="Z1" s="7"/>
      <c r="AA1" s="7"/>
      <c r="AB1" s="7"/>
      <c r="AD1" s="7" t="s">
        <v>103</v>
      </c>
      <c r="AE1" s="7"/>
      <c r="AF1" s="7"/>
      <c r="AG1" s="7"/>
      <c r="AH1" s="7"/>
      <c r="AI1" s="7"/>
      <c r="AJ1" s="7"/>
      <c r="AK1" s="7"/>
    </row>
    <row r="2" spans="1:37" x14ac:dyDescent="0.25">
      <c r="A2" s="2" t="s">
        <v>67</v>
      </c>
      <c r="B2" s="2" t="s">
        <v>64</v>
      </c>
      <c r="C2" s="2" t="s">
        <v>145</v>
      </c>
      <c r="D2" s="2" t="s">
        <v>65</v>
      </c>
      <c r="E2" s="2" t="s">
        <v>146</v>
      </c>
      <c r="F2" s="2" t="s">
        <v>0</v>
      </c>
      <c r="G2" s="2" t="s">
        <v>147</v>
      </c>
      <c r="H2" s="2" t="s">
        <v>149</v>
      </c>
      <c r="I2" s="2" t="s">
        <v>148</v>
      </c>
      <c r="K2" s="2" t="s">
        <v>70</v>
      </c>
      <c r="L2" s="2" t="s">
        <v>68</v>
      </c>
      <c r="M2" s="2" t="s">
        <v>145</v>
      </c>
      <c r="N2" s="2" t="s">
        <v>65</v>
      </c>
      <c r="O2" s="2" t="s">
        <v>146</v>
      </c>
      <c r="P2" s="2" t="s">
        <v>0</v>
      </c>
      <c r="Q2" s="2" t="s">
        <v>147</v>
      </c>
      <c r="R2" s="2" t="s">
        <v>149</v>
      </c>
      <c r="S2" s="2" t="s">
        <v>1</v>
      </c>
      <c r="U2" s="2" t="s">
        <v>70</v>
      </c>
      <c r="V2" s="6" t="s">
        <v>68</v>
      </c>
      <c r="W2" s="6" t="s">
        <v>145</v>
      </c>
      <c r="X2" s="6" t="s">
        <v>65</v>
      </c>
      <c r="Y2" s="6" t="s">
        <v>146</v>
      </c>
      <c r="Z2" s="2" t="s">
        <v>0</v>
      </c>
      <c r="AA2" s="2" t="s">
        <v>147</v>
      </c>
      <c r="AB2" s="2" t="s">
        <v>1</v>
      </c>
      <c r="AD2" s="2" t="s">
        <v>70</v>
      </c>
      <c r="AE2" s="6" t="s">
        <v>64</v>
      </c>
      <c r="AF2" s="6" t="s">
        <v>145</v>
      </c>
      <c r="AG2" s="6" t="s">
        <v>65</v>
      </c>
      <c r="AH2" s="6" t="s">
        <v>146</v>
      </c>
      <c r="AI2" s="2" t="s">
        <v>0</v>
      </c>
      <c r="AJ2" s="2" t="s">
        <v>147</v>
      </c>
      <c r="AK2" s="2" t="s">
        <v>1</v>
      </c>
    </row>
    <row r="3" spans="1:37" x14ac:dyDescent="0.25">
      <c r="A3" s="1" t="s">
        <v>2</v>
      </c>
      <c r="B3" s="1">
        <v>260</v>
      </c>
      <c r="C3" s="1">
        <f>B3/2</f>
        <v>130</v>
      </c>
      <c r="D3" s="1">
        <v>300</v>
      </c>
      <c r="E3" s="1">
        <f>D3/2</f>
        <v>150</v>
      </c>
      <c r="F3" s="1">
        <v>10</v>
      </c>
      <c r="G3">
        <f>PI()*C3*E3*(1-F3/100)/100000000</f>
        <v>5.5134951070500869E-4</v>
      </c>
      <c r="H3">
        <v>54.386335000000003</v>
      </c>
      <c r="I3">
        <f>H3 * ((0.0001)/G3)</f>
        <v>9.8642211417683825</v>
      </c>
      <c r="K3" s="1" t="s">
        <v>2</v>
      </c>
      <c r="L3" s="1">
        <v>240</v>
      </c>
      <c r="M3" s="1">
        <f>L3/2</f>
        <v>120</v>
      </c>
      <c r="N3" s="1">
        <v>240</v>
      </c>
      <c r="O3" s="1">
        <f>N3/2</f>
        <v>120</v>
      </c>
      <c r="P3" s="1">
        <v>1</v>
      </c>
      <c r="Q3">
        <f>PI()*M3*O3*(1-P3/100)/100000000</f>
        <v>4.4786544869576087E-4</v>
      </c>
      <c r="U3" s="1" t="s">
        <v>2</v>
      </c>
      <c r="V3" s="4">
        <v>240</v>
      </c>
      <c r="W3" s="4">
        <f>V3/2</f>
        <v>120</v>
      </c>
      <c r="X3" s="4">
        <v>240</v>
      </c>
      <c r="Y3" s="4">
        <f>X3/2</f>
        <v>120</v>
      </c>
      <c r="Z3" s="1">
        <v>10</v>
      </c>
      <c r="AA3">
        <f>PI()*W3*Y3*(1-Z3/100)/100000000</f>
        <v>4.0715040790523721E-4</v>
      </c>
      <c r="AD3" s="1" t="s">
        <v>2</v>
      </c>
      <c r="AE3" s="4">
        <v>260</v>
      </c>
      <c r="AF3" s="4">
        <f>AE3/2</f>
        <v>130</v>
      </c>
      <c r="AG3" s="4">
        <v>300</v>
      </c>
      <c r="AH3" s="4">
        <f>AG3/2</f>
        <v>150</v>
      </c>
      <c r="AI3" s="1">
        <v>8</v>
      </c>
      <c r="AJ3">
        <f>PI()*AF3*AH3*(1-AI3/100)/100000000</f>
        <v>5.6360172205400887E-4</v>
      </c>
    </row>
    <row r="4" spans="1:37" x14ac:dyDescent="0.25">
      <c r="A4" s="1" t="s">
        <v>3</v>
      </c>
      <c r="B4" s="1">
        <v>280</v>
      </c>
      <c r="C4" s="1">
        <f t="shared" ref="C4:C64" si="0">B4/2</f>
        <v>140</v>
      </c>
      <c r="D4" s="1">
        <v>300</v>
      </c>
      <c r="E4" s="1">
        <f t="shared" ref="E4:E64" si="1">D4/2</f>
        <v>150</v>
      </c>
      <c r="F4" s="1">
        <v>4</v>
      </c>
      <c r="G4">
        <f t="shared" ref="G4:G64" si="2">PI()*C4*E4*(1-F4/100)/100000000</f>
        <v>6.3334507896370222E-4</v>
      </c>
      <c r="H4">
        <v>58.175431000000003</v>
      </c>
      <c r="I4">
        <f t="shared" ref="I4:I64" si="3">H4 * ((0.0001)/G4)</f>
        <v>9.1854240180074278</v>
      </c>
      <c r="K4" s="1" t="s">
        <v>3</v>
      </c>
      <c r="L4" s="1">
        <v>240</v>
      </c>
      <c r="M4" s="1">
        <f t="shared" ref="M4:M63" si="4">L4/2</f>
        <v>120</v>
      </c>
      <c r="N4" s="1">
        <v>240</v>
      </c>
      <c r="O4" s="1">
        <f t="shared" ref="O4:O63" si="5">N4/2</f>
        <v>120</v>
      </c>
      <c r="P4" s="1">
        <v>0</v>
      </c>
      <c r="Q4">
        <f t="shared" ref="Q4:Q63" si="6">PI()*M4*O4*(1-P4/100)/100000000</f>
        <v>4.523893421169302E-4</v>
      </c>
      <c r="U4" s="1" t="s">
        <v>3</v>
      </c>
      <c r="V4" s="4">
        <v>240</v>
      </c>
      <c r="W4" s="4">
        <f t="shared" ref="W4:W66" si="7">V4/2</f>
        <v>120</v>
      </c>
      <c r="X4" s="4">
        <v>240</v>
      </c>
      <c r="Y4" s="4">
        <f t="shared" ref="Y4:Y66" si="8">X4/2</f>
        <v>120</v>
      </c>
      <c r="Z4" s="1">
        <v>8</v>
      </c>
      <c r="AA4">
        <f t="shared" ref="AA4:AA66" si="9">PI()*W4*Y4*(1-Z4/100)/100000000</f>
        <v>4.1619819474757582E-4</v>
      </c>
      <c r="AD4" s="1" t="s">
        <v>4</v>
      </c>
      <c r="AE4" s="4">
        <v>280</v>
      </c>
      <c r="AF4" s="4">
        <f t="shared" ref="AF4:AF62" si="10">AE4/2</f>
        <v>140</v>
      </c>
      <c r="AG4" s="4">
        <v>300</v>
      </c>
      <c r="AH4" s="4">
        <f t="shared" ref="AH4:AH62" si="11">AG4/2</f>
        <v>150</v>
      </c>
      <c r="AI4" s="1">
        <v>15</v>
      </c>
      <c r="AJ4">
        <f t="shared" ref="AJ4:AJ62" si="12">PI()*AF4*AH4*(1-AI4/100)/100000000</f>
        <v>5.6077428866577802E-4</v>
      </c>
    </row>
    <row r="5" spans="1:37" x14ac:dyDescent="0.25">
      <c r="A5" s="1" t="s">
        <v>4</v>
      </c>
      <c r="B5" s="1">
        <v>290</v>
      </c>
      <c r="C5" s="1">
        <f t="shared" si="0"/>
        <v>145</v>
      </c>
      <c r="D5" s="1">
        <v>300</v>
      </c>
      <c r="E5" s="1">
        <f t="shared" si="1"/>
        <v>150</v>
      </c>
      <c r="F5" s="1">
        <v>1</v>
      </c>
      <c r="G5">
        <f t="shared" si="2"/>
        <v>6.7646343813422213E-4</v>
      </c>
      <c r="H5">
        <v>64.975234999999998</v>
      </c>
      <c r="I5">
        <f t="shared" si="3"/>
        <v>9.6051362626796966</v>
      </c>
      <c r="K5" s="1" t="s">
        <v>71</v>
      </c>
      <c r="L5" s="1">
        <v>240</v>
      </c>
      <c r="M5" s="1">
        <f t="shared" si="4"/>
        <v>120</v>
      </c>
      <c r="N5" s="1">
        <v>240</v>
      </c>
      <c r="O5" s="1">
        <f t="shared" si="5"/>
        <v>120</v>
      </c>
      <c r="P5" s="1">
        <v>1</v>
      </c>
      <c r="Q5">
        <f t="shared" si="6"/>
        <v>4.4786544869576087E-4</v>
      </c>
      <c r="U5" s="1" t="s">
        <v>71</v>
      </c>
      <c r="V5" s="4">
        <v>240</v>
      </c>
      <c r="W5" s="4">
        <f t="shared" si="7"/>
        <v>120</v>
      </c>
      <c r="X5" s="4">
        <v>240</v>
      </c>
      <c r="Y5" s="4">
        <f t="shared" si="8"/>
        <v>120</v>
      </c>
      <c r="Z5" s="3">
        <v>50</v>
      </c>
      <c r="AA5">
        <f t="shared" si="9"/>
        <v>2.261946710584651E-4</v>
      </c>
      <c r="AD5" s="1" t="s">
        <v>127</v>
      </c>
      <c r="AE5" s="4">
        <v>290</v>
      </c>
      <c r="AF5" s="4">
        <f t="shared" si="10"/>
        <v>145</v>
      </c>
      <c r="AG5" s="4">
        <v>300</v>
      </c>
      <c r="AH5" s="4">
        <f t="shared" si="11"/>
        <v>150</v>
      </c>
      <c r="AI5" s="1">
        <v>9</v>
      </c>
      <c r="AJ5">
        <f t="shared" si="12"/>
        <v>6.2179972596175981E-4</v>
      </c>
    </row>
    <row r="6" spans="1:37" x14ac:dyDescent="0.25">
      <c r="A6" s="1" t="s">
        <v>5</v>
      </c>
      <c r="B6" s="4">
        <v>277</v>
      </c>
      <c r="C6" s="1">
        <f t="shared" si="0"/>
        <v>138.5</v>
      </c>
      <c r="D6" s="4">
        <v>300</v>
      </c>
      <c r="E6" s="1">
        <f t="shared" si="1"/>
        <v>150</v>
      </c>
      <c r="F6" s="1">
        <v>30</v>
      </c>
      <c r="G6">
        <f t="shared" si="2"/>
        <v>4.5686611164829564E-4</v>
      </c>
      <c r="H6">
        <v>66.574359000000001</v>
      </c>
      <c r="I6">
        <f t="shared" si="3"/>
        <v>14.571962617190183</v>
      </c>
      <c r="K6" s="1" t="s">
        <v>4</v>
      </c>
      <c r="L6" s="4">
        <v>238</v>
      </c>
      <c r="M6" s="1">
        <f t="shared" si="4"/>
        <v>119</v>
      </c>
      <c r="N6" s="4">
        <v>238</v>
      </c>
      <c r="O6" s="1">
        <f t="shared" si="5"/>
        <v>119</v>
      </c>
      <c r="P6" s="1">
        <v>3</v>
      </c>
      <c r="Q6">
        <f t="shared" si="6"/>
        <v>4.3153450760460502E-4</v>
      </c>
      <c r="U6" s="1" t="s">
        <v>4</v>
      </c>
      <c r="V6" s="4">
        <v>238</v>
      </c>
      <c r="W6" s="4">
        <f t="shared" si="7"/>
        <v>119</v>
      </c>
      <c r="X6" s="4">
        <v>238</v>
      </c>
      <c r="Y6" s="4">
        <f t="shared" si="8"/>
        <v>119</v>
      </c>
      <c r="Z6" s="3">
        <v>10</v>
      </c>
      <c r="AA6">
        <f t="shared" si="9"/>
        <v>4.0039284210736551E-4</v>
      </c>
      <c r="AD6" s="1" t="s">
        <v>6</v>
      </c>
      <c r="AE6" s="4">
        <v>277</v>
      </c>
      <c r="AF6" s="4">
        <f t="shared" si="10"/>
        <v>138.5</v>
      </c>
      <c r="AG6" s="4">
        <v>300</v>
      </c>
      <c r="AH6" s="4">
        <f t="shared" si="11"/>
        <v>150</v>
      </c>
      <c r="AI6" s="1">
        <v>2</v>
      </c>
      <c r="AJ6">
        <f t="shared" si="12"/>
        <v>6.3961255630761392E-4</v>
      </c>
    </row>
    <row r="7" spans="1:37" x14ac:dyDescent="0.25">
      <c r="A7" s="1" t="s">
        <v>6</v>
      </c>
      <c r="B7" s="4">
        <v>277</v>
      </c>
      <c r="C7" s="1">
        <f t="shared" si="0"/>
        <v>138.5</v>
      </c>
      <c r="D7" s="4">
        <v>300</v>
      </c>
      <c r="E7" s="1">
        <f t="shared" si="1"/>
        <v>150</v>
      </c>
      <c r="F7" s="1">
        <v>20</v>
      </c>
      <c r="G7">
        <f t="shared" si="2"/>
        <v>5.2213269902662372E-4</v>
      </c>
      <c r="H7">
        <v>60.294823999999998</v>
      </c>
      <c r="I7">
        <f t="shared" si="3"/>
        <v>11.547796970464313</v>
      </c>
      <c r="K7" s="1" t="s">
        <v>5</v>
      </c>
      <c r="L7" s="1">
        <v>230</v>
      </c>
      <c r="M7" s="1">
        <f t="shared" si="4"/>
        <v>115</v>
      </c>
      <c r="N7" s="1">
        <v>230</v>
      </c>
      <c r="O7" s="1">
        <f t="shared" si="5"/>
        <v>115</v>
      </c>
      <c r="P7" s="1">
        <v>1</v>
      </c>
      <c r="Q7">
        <f t="shared" si="6"/>
        <v>4.1132087215287771E-4</v>
      </c>
      <c r="U7" s="1" t="s">
        <v>5</v>
      </c>
      <c r="V7" s="4">
        <v>230</v>
      </c>
      <c r="W7" s="4">
        <f t="shared" si="7"/>
        <v>115</v>
      </c>
      <c r="X7" s="4">
        <v>230</v>
      </c>
      <c r="Y7" s="4">
        <f t="shared" si="8"/>
        <v>115</v>
      </c>
      <c r="Z7" s="1">
        <v>6</v>
      </c>
      <c r="AA7">
        <f t="shared" si="9"/>
        <v>3.9054709073101519E-4</v>
      </c>
      <c r="AD7" s="1" t="s">
        <v>128</v>
      </c>
      <c r="AE7" s="4">
        <v>277</v>
      </c>
      <c r="AF7" s="4">
        <f t="shared" si="10"/>
        <v>138.5</v>
      </c>
      <c r="AG7" s="4">
        <v>300</v>
      </c>
      <c r="AH7" s="4">
        <f t="shared" si="11"/>
        <v>150</v>
      </c>
      <c r="AI7" s="3">
        <v>35</v>
      </c>
      <c r="AJ7">
        <f t="shared" si="12"/>
        <v>4.2423281795913171E-4</v>
      </c>
    </row>
    <row r="8" spans="1:37" x14ac:dyDescent="0.25">
      <c r="A8" s="1" t="s">
        <v>7</v>
      </c>
      <c r="B8" s="4">
        <v>277</v>
      </c>
      <c r="C8" s="1">
        <f t="shared" si="0"/>
        <v>138.5</v>
      </c>
      <c r="D8" s="4">
        <v>300</v>
      </c>
      <c r="E8" s="1">
        <f t="shared" si="1"/>
        <v>150</v>
      </c>
      <c r="F8" s="1">
        <v>50</v>
      </c>
      <c r="G8">
        <f t="shared" si="2"/>
        <v>3.2633293689163977E-4</v>
      </c>
      <c r="H8">
        <v>65.108327000000003</v>
      </c>
      <c r="I8">
        <f t="shared" si="3"/>
        <v>19.951503400228184</v>
      </c>
      <c r="K8" s="1" t="s">
        <v>7</v>
      </c>
      <c r="L8" s="1">
        <v>240</v>
      </c>
      <c r="M8" s="1">
        <f t="shared" si="4"/>
        <v>120</v>
      </c>
      <c r="N8" s="1">
        <v>260</v>
      </c>
      <c r="O8" s="1">
        <f t="shared" si="5"/>
        <v>130</v>
      </c>
      <c r="P8" s="1">
        <v>1</v>
      </c>
      <c r="Q8">
        <f t="shared" si="6"/>
        <v>4.8518756942040762E-4</v>
      </c>
      <c r="U8" s="1" t="s">
        <v>6</v>
      </c>
      <c r="V8" s="4">
        <v>240</v>
      </c>
      <c r="W8" s="4">
        <f t="shared" si="7"/>
        <v>120</v>
      </c>
      <c r="X8" s="4">
        <v>260</v>
      </c>
      <c r="Y8" s="4">
        <f t="shared" si="8"/>
        <v>130</v>
      </c>
      <c r="Z8" s="1">
        <v>3</v>
      </c>
      <c r="AA8">
        <f t="shared" si="9"/>
        <v>4.7538580034120741E-4</v>
      </c>
      <c r="AD8" s="1" t="s">
        <v>129</v>
      </c>
      <c r="AE8" s="4">
        <v>277</v>
      </c>
      <c r="AF8" s="4">
        <f t="shared" si="10"/>
        <v>138.5</v>
      </c>
      <c r="AG8" s="4">
        <v>300</v>
      </c>
      <c r="AH8" s="4">
        <f t="shared" si="11"/>
        <v>150</v>
      </c>
      <c r="AI8" s="3">
        <v>80</v>
      </c>
      <c r="AJ8">
        <f t="shared" si="12"/>
        <v>1.3053317475665587E-4</v>
      </c>
    </row>
    <row r="9" spans="1:37" x14ac:dyDescent="0.25">
      <c r="A9" s="1" t="s">
        <v>8</v>
      </c>
      <c r="B9" s="4">
        <v>277</v>
      </c>
      <c r="C9" s="1">
        <f t="shared" si="0"/>
        <v>138.5</v>
      </c>
      <c r="D9" s="4">
        <v>300</v>
      </c>
      <c r="E9" s="1">
        <f t="shared" si="1"/>
        <v>150</v>
      </c>
      <c r="F9" s="1">
        <v>10</v>
      </c>
      <c r="G9">
        <f t="shared" si="2"/>
        <v>5.8739928640495157E-4</v>
      </c>
      <c r="H9">
        <v>73.267285999999999</v>
      </c>
      <c r="I9">
        <f t="shared" si="3"/>
        <v>12.47316564655983</v>
      </c>
      <c r="K9" s="1" t="s">
        <v>72</v>
      </c>
      <c r="L9" s="4">
        <v>240</v>
      </c>
      <c r="M9" s="1">
        <f t="shared" si="4"/>
        <v>120</v>
      </c>
      <c r="N9" s="4">
        <v>240</v>
      </c>
      <c r="O9" s="1">
        <f t="shared" si="5"/>
        <v>120</v>
      </c>
      <c r="P9" s="1">
        <v>0</v>
      </c>
      <c r="Q9">
        <f t="shared" si="6"/>
        <v>4.523893421169302E-4</v>
      </c>
      <c r="U9" s="1" t="s">
        <v>7</v>
      </c>
      <c r="V9" s="4">
        <v>240</v>
      </c>
      <c r="W9" s="4">
        <f t="shared" si="7"/>
        <v>120</v>
      </c>
      <c r="X9" s="4">
        <v>240</v>
      </c>
      <c r="Y9" s="4">
        <f t="shared" si="8"/>
        <v>120</v>
      </c>
      <c r="Z9" s="1">
        <v>1</v>
      </c>
      <c r="AA9">
        <f t="shared" si="9"/>
        <v>4.4786544869576087E-4</v>
      </c>
      <c r="AD9" s="1" t="s">
        <v>130</v>
      </c>
      <c r="AE9" s="4">
        <v>277</v>
      </c>
      <c r="AF9" s="4">
        <f t="shared" si="10"/>
        <v>138.5</v>
      </c>
      <c r="AG9" s="4">
        <v>300</v>
      </c>
      <c r="AH9" s="4">
        <f t="shared" si="11"/>
        <v>150</v>
      </c>
      <c r="AI9" s="1">
        <v>1</v>
      </c>
      <c r="AJ9">
        <f t="shared" si="12"/>
        <v>6.4613921504544673E-4</v>
      </c>
    </row>
    <row r="10" spans="1:37" x14ac:dyDescent="0.25">
      <c r="A10" s="1" t="s">
        <v>9</v>
      </c>
      <c r="B10" s="4">
        <v>277</v>
      </c>
      <c r="C10" s="1">
        <f t="shared" si="0"/>
        <v>138.5</v>
      </c>
      <c r="D10" s="4">
        <v>300</v>
      </c>
      <c r="E10" s="1">
        <f t="shared" si="1"/>
        <v>150</v>
      </c>
      <c r="F10" s="1">
        <v>30</v>
      </c>
      <c r="G10">
        <f t="shared" si="2"/>
        <v>4.5686611164829564E-4</v>
      </c>
      <c r="H10">
        <v>77.370964000000001</v>
      </c>
      <c r="I10">
        <f t="shared" si="3"/>
        <v>16.935150589492981</v>
      </c>
      <c r="K10" s="1" t="s">
        <v>73</v>
      </c>
      <c r="L10" s="1">
        <v>240</v>
      </c>
      <c r="M10" s="1">
        <f t="shared" si="4"/>
        <v>120</v>
      </c>
      <c r="N10" s="1">
        <v>240</v>
      </c>
      <c r="O10" s="1">
        <f t="shared" si="5"/>
        <v>120</v>
      </c>
      <c r="P10" s="1">
        <v>6</v>
      </c>
      <c r="Q10">
        <f t="shared" si="6"/>
        <v>4.2524598158991437E-4</v>
      </c>
      <c r="U10" s="1" t="s">
        <v>72</v>
      </c>
      <c r="V10" s="4">
        <v>240</v>
      </c>
      <c r="W10" s="4">
        <f t="shared" si="7"/>
        <v>120</v>
      </c>
      <c r="X10" s="4">
        <v>240</v>
      </c>
      <c r="Y10" s="4">
        <f t="shared" si="8"/>
        <v>120</v>
      </c>
      <c r="Z10" s="3">
        <v>15</v>
      </c>
      <c r="AA10">
        <f t="shared" si="9"/>
        <v>3.8453094079939066E-4</v>
      </c>
      <c r="AD10" s="1" t="s">
        <v>10</v>
      </c>
      <c r="AE10" s="4">
        <v>277</v>
      </c>
      <c r="AF10" s="4">
        <f t="shared" si="10"/>
        <v>138.5</v>
      </c>
      <c r="AG10" s="4">
        <v>300</v>
      </c>
      <c r="AH10" s="4">
        <f t="shared" si="11"/>
        <v>150</v>
      </c>
      <c r="AI10" s="3">
        <v>10</v>
      </c>
      <c r="AJ10">
        <f t="shared" si="12"/>
        <v>5.8739928640495157E-4</v>
      </c>
    </row>
    <row r="11" spans="1:37" x14ac:dyDescent="0.25">
      <c r="A11" s="1" t="s">
        <v>10</v>
      </c>
      <c r="B11" s="1">
        <v>300</v>
      </c>
      <c r="C11" s="1">
        <f t="shared" si="0"/>
        <v>150</v>
      </c>
      <c r="D11" s="1">
        <v>340</v>
      </c>
      <c r="E11" s="1">
        <f t="shared" si="1"/>
        <v>170</v>
      </c>
      <c r="F11" s="1">
        <v>2</v>
      </c>
      <c r="G11">
        <f t="shared" si="2"/>
        <v>7.8508400413208922E-4</v>
      </c>
      <c r="H11">
        <v>65.148657999999998</v>
      </c>
      <c r="I11">
        <f t="shared" si="3"/>
        <v>8.2983040868374172</v>
      </c>
      <c r="K11" s="1" t="s">
        <v>10</v>
      </c>
      <c r="L11" s="1">
        <v>240</v>
      </c>
      <c r="M11" s="1">
        <f t="shared" si="4"/>
        <v>120</v>
      </c>
      <c r="N11" s="1">
        <v>230</v>
      </c>
      <c r="O11" s="1">
        <f t="shared" si="5"/>
        <v>115</v>
      </c>
      <c r="P11" s="1">
        <v>6</v>
      </c>
      <c r="Q11">
        <f t="shared" si="6"/>
        <v>4.0752739902366787E-4</v>
      </c>
      <c r="U11" s="1" t="s">
        <v>10</v>
      </c>
      <c r="V11" s="4">
        <v>240</v>
      </c>
      <c r="W11" s="4">
        <f t="shared" si="7"/>
        <v>120</v>
      </c>
      <c r="X11" s="4">
        <v>230</v>
      </c>
      <c r="Y11" s="4">
        <f t="shared" si="8"/>
        <v>115</v>
      </c>
      <c r="Z11" s="1">
        <v>5</v>
      </c>
      <c r="AA11">
        <f t="shared" si="9"/>
        <v>4.1186279688562187E-4</v>
      </c>
      <c r="AD11" s="1" t="s">
        <v>11</v>
      </c>
      <c r="AE11" s="4">
        <v>300</v>
      </c>
      <c r="AF11" s="4">
        <f t="shared" si="10"/>
        <v>150</v>
      </c>
      <c r="AG11" s="4">
        <v>340</v>
      </c>
      <c r="AH11" s="4">
        <f t="shared" si="11"/>
        <v>170</v>
      </c>
      <c r="AI11" s="1">
        <v>0</v>
      </c>
      <c r="AJ11">
        <f t="shared" si="12"/>
        <v>8.0110612666539713E-4</v>
      </c>
    </row>
    <row r="12" spans="1:37" x14ac:dyDescent="0.25">
      <c r="A12" s="1" t="s">
        <v>11</v>
      </c>
      <c r="B12" s="4">
        <v>330</v>
      </c>
      <c r="C12" s="1">
        <f t="shared" si="0"/>
        <v>165</v>
      </c>
      <c r="D12" s="4">
        <v>354</v>
      </c>
      <c r="E12" s="1">
        <f t="shared" si="1"/>
        <v>177</v>
      </c>
      <c r="F12" s="1">
        <v>0</v>
      </c>
      <c r="G12">
        <f t="shared" si="2"/>
        <v>9.1750213448089902E-4</v>
      </c>
      <c r="K12" s="1" t="s">
        <v>11</v>
      </c>
      <c r="L12" s="4">
        <v>240</v>
      </c>
      <c r="M12" s="1">
        <f t="shared" si="4"/>
        <v>120</v>
      </c>
      <c r="N12" s="4">
        <v>230</v>
      </c>
      <c r="O12" s="1">
        <f t="shared" si="5"/>
        <v>115</v>
      </c>
      <c r="P12" s="1">
        <v>1</v>
      </c>
      <c r="Q12">
        <f t="shared" si="6"/>
        <v>4.2920438833343754E-4</v>
      </c>
      <c r="U12" s="1" t="s">
        <v>12</v>
      </c>
      <c r="V12" s="4">
        <v>240</v>
      </c>
      <c r="W12" s="4">
        <f t="shared" si="7"/>
        <v>120</v>
      </c>
      <c r="X12" s="4">
        <v>230</v>
      </c>
      <c r="Y12" s="4">
        <f t="shared" si="8"/>
        <v>115</v>
      </c>
      <c r="Z12" s="3">
        <v>40</v>
      </c>
      <c r="AA12">
        <f t="shared" si="9"/>
        <v>2.6012387171723482E-4</v>
      </c>
      <c r="AD12" s="1" t="s">
        <v>13</v>
      </c>
      <c r="AE12" s="4">
        <v>330</v>
      </c>
      <c r="AF12" s="4">
        <f t="shared" si="10"/>
        <v>165</v>
      </c>
      <c r="AG12" s="4">
        <v>354</v>
      </c>
      <c r="AH12" s="4">
        <f t="shared" si="11"/>
        <v>177</v>
      </c>
      <c r="AI12" s="3">
        <v>25</v>
      </c>
      <c r="AJ12">
        <f t="shared" si="12"/>
        <v>6.8812660086067421E-4</v>
      </c>
    </row>
    <row r="13" spans="1:37" x14ac:dyDescent="0.25">
      <c r="A13" s="1" t="s">
        <v>12</v>
      </c>
      <c r="B13" s="4">
        <v>330</v>
      </c>
      <c r="C13" s="1">
        <f t="shared" si="0"/>
        <v>165</v>
      </c>
      <c r="D13" s="4">
        <v>354</v>
      </c>
      <c r="E13" s="1">
        <f t="shared" si="1"/>
        <v>177</v>
      </c>
      <c r="F13" s="1">
        <v>1</v>
      </c>
      <c r="G13">
        <f t="shared" si="2"/>
        <v>9.0832711313608991E-4</v>
      </c>
      <c r="H13">
        <v>86.832612999999995</v>
      </c>
      <c r="I13">
        <f t="shared" si="3"/>
        <v>9.5596191883122081</v>
      </c>
      <c r="K13" s="1" t="s">
        <v>13</v>
      </c>
      <c r="L13" s="4">
        <v>240</v>
      </c>
      <c r="M13" s="1">
        <f t="shared" si="4"/>
        <v>120</v>
      </c>
      <c r="N13" s="4">
        <v>230</v>
      </c>
      <c r="O13" s="1">
        <f t="shared" si="5"/>
        <v>115</v>
      </c>
      <c r="P13" s="1">
        <v>2</v>
      </c>
      <c r="Q13">
        <f t="shared" si="6"/>
        <v>4.2486899047148354E-4</v>
      </c>
      <c r="U13" s="1" t="s">
        <v>16</v>
      </c>
      <c r="V13" s="4">
        <v>240</v>
      </c>
      <c r="W13" s="4">
        <f t="shared" si="7"/>
        <v>120</v>
      </c>
      <c r="X13" s="4">
        <v>230</v>
      </c>
      <c r="Y13" s="4">
        <f t="shared" si="8"/>
        <v>115</v>
      </c>
      <c r="Z13" s="1">
        <v>3</v>
      </c>
      <c r="AA13">
        <f t="shared" si="9"/>
        <v>4.2053359260952965E-4</v>
      </c>
      <c r="AD13" s="1" t="s">
        <v>14</v>
      </c>
      <c r="AE13" s="4">
        <v>330</v>
      </c>
      <c r="AF13" s="4">
        <f t="shared" si="10"/>
        <v>165</v>
      </c>
      <c r="AG13" s="4">
        <v>354</v>
      </c>
      <c r="AH13" s="4">
        <f t="shared" si="11"/>
        <v>177</v>
      </c>
      <c r="AI13" s="3">
        <v>35</v>
      </c>
      <c r="AJ13">
        <f t="shared" si="12"/>
        <v>5.9637638741258435E-4</v>
      </c>
    </row>
    <row r="14" spans="1:37" x14ac:dyDescent="0.25">
      <c r="A14" s="1" t="s">
        <v>13</v>
      </c>
      <c r="B14" s="4">
        <v>330</v>
      </c>
      <c r="C14" s="1">
        <f t="shared" si="0"/>
        <v>165</v>
      </c>
      <c r="D14" s="4">
        <v>354</v>
      </c>
      <c r="E14" s="1">
        <f t="shared" si="1"/>
        <v>177</v>
      </c>
      <c r="F14" s="1">
        <v>2</v>
      </c>
      <c r="G14">
        <f t="shared" si="2"/>
        <v>8.9915209179128102E-4</v>
      </c>
      <c r="H14">
        <v>82.688603999999998</v>
      </c>
      <c r="I14">
        <f t="shared" si="3"/>
        <v>9.1962866744010636</v>
      </c>
      <c r="K14" s="1" t="s">
        <v>14</v>
      </c>
      <c r="L14" s="4">
        <v>240</v>
      </c>
      <c r="M14" s="1">
        <f t="shared" si="4"/>
        <v>120</v>
      </c>
      <c r="N14" s="4">
        <v>230</v>
      </c>
      <c r="O14" s="1">
        <f t="shared" si="5"/>
        <v>115</v>
      </c>
      <c r="P14" s="1">
        <v>1</v>
      </c>
      <c r="Q14">
        <f t="shared" si="6"/>
        <v>4.2920438833343754E-4</v>
      </c>
      <c r="U14" s="1" t="s">
        <v>17</v>
      </c>
      <c r="V14" s="4">
        <v>240</v>
      </c>
      <c r="W14" s="4">
        <f t="shared" si="7"/>
        <v>120</v>
      </c>
      <c r="X14" s="4">
        <v>230</v>
      </c>
      <c r="Y14" s="4">
        <f t="shared" si="8"/>
        <v>115</v>
      </c>
      <c r="Z14" s="3">
        <v>40</v>
      </c>
      <c r="AA14">
        <f t="shared" si="9"/>
        <v>2.6012387171723482E-4</v>
      </c>
      <c r="AD14" s="1" t="s">
        <v>15</v>
      </c>
      <c r="AE14" s="4">
        <v>330</v>
      </c>
      <c r="AF14" s="4">
        <f t="shared" si="10"/>
        <v>165</v>
      </c>
      <c r="AG14" s="4">
        <v>354</v>
      </c>
      <c r="AH14" s="4">
        <f t="shared" si="11"/>
        <v>177</v>
      </c>
      <c r="AI14" s="1">
        <v>2</v>
      </c>
      <c r="AJ14">
        <f t="shared" si="12"/>
        <v>8.9915209179128102E-4</v>
      </c>
    </row>
    <row r="15" spans="1:37" x14ac:dyDescent="0.25">
      <c r="A15" s="1" t="s">
        <v>14</v>
      </c>
      <c r="B15" s="4">
        <v>330</v>
      </c>
      <c r="C15" s="1">
        <f t="shared" si="0"/>
        <v>165</v>
      </c>
      <c r="D15" s="4">
        <v>354</v>
      </c>
      <c r="E15" s="1">
        <f t="shared" si="1"/>
        <v>177</v>
      </c>
      <c r="F15" s="1">
        <v>20</v>
      </c>
      <c r="G15">
        <f t="shared" si="2"/>
        <v>7.340017075847193E-4</v>
      </c>
      <c r="H15">
        <v>81.791240000000002</v>
      </c>
      <c r="I15">
        <f t="shared" si="3"/>
        <v>11.143194784810438</v>
      </c>
      <c r="K15" s="1" t="s">
        <v>15</v>
      </c>
      <c r="L15" s="1">
        <v>240</v>
      </c>
      <c r="M15" s="1">
        <f t="shared" si="4"/>
        <v>120</v>
      </c>
      <c r="N15" s="1">
        <v>230</v>
      </c>
      <c r="O15" s="1">
        <f t="shared" si="5"/>
        <v>115</v>
      </c>
      <c r="P15" s="1">
        <v>4</v>
      </c>
      <c r="Q15">
        <f t="shared" si="6"/>
        <v>4.1619819474757576E-4</v>
      </c>
      <c r="S15" s="5"/>
      <c r="U15" s="1" t="s">
        <v>104</v>
      </c>
      <c r="V15" s="4">
        <v>240</v>
      </c>
      <c r="W15" s="4">
        <f t="shared" si="7"/>
        <v>120</v>
      </c>
      <c r="X15" s="4">
        <v>230</v>
      </c>
      <c r="Y15" s="4">
        <f t="shared" si="8"/>
        <v>115</v>
      </c>
      <c r="Z15" s="3">
        <v>22</v>
      </c>
      <c r="AA15">
        <f t="shared" si="9"/>
        <v>3.3816103323240534E-4</v>
      </c>
      <c r="AD15" s="1" t="s">
        <v>16</v>
      </c>
      <c r="AE15" s="4">
        <v>330</v>
      </c>
      <c r="AF15" s="4">
        <f t="shared" si="10"/>
        <v>165</v>
      </c>
      <c r="AG15" s="4">
        <v>354</v>
      </c>
      <c r="AH15" s="4">
        <f t="shared" si="11"/>
        <v>177</v>
      </c>
      <c r="AI15" s="1">
        <v>4</v>
      </c>
      <c r="AJ15">
        <f t="shared" si="12"/>
        <v>8.8080204910166303E-4</v>
      </c>
    </row>
    <row r="16" spans="1:37" x14ac:dyDescent="0.25">
      <c r="A16" s="1" t="s">
        <v>15</v>
      </c>
      <c r="B16" s="4">
        <v>330</v>
      </c>
      <c r="C16" s="1">
        <f t="shared" si="0"/>
        <v>165</v>
      </c>
      <c r="D16" s="4">
        <v>354</v>
      </c>
      <c r="E16" s="1">
        <f t="shared" si="1"/>
        <v>177</v>
      </c>
      <c r="F16" s="1">
        <v>1</v>
      </c>
      <c r="G16">
        <f t="shared" si="2"/>
        <v>9.0832711313608991E-4</v>
      </c>
      <c r="H16">
        <v>88.556763000000004</v>
      </c>
      <c r="I16">
        <f t="shared" si="3"/>
        <v>9.7494351670566068</v>
      </c>
      <c r="K16" s="1" t="s">
        <v>16</v>
      </c>
      <c r="L16" s="4">
        <v>240</v>
      </c>
      <c r="M16" s="1">
        <f t="shared" si="4"/>
        <v>120</v>
      </c>
      <c r="N16" s="4">
        <v>230</v>
      </c>
      <c r="O16" s="1">
        <f t="shared" si="5"/>
        <v>115</v>
      </c>
      <c r="P16" s="1">
        <v>10</v>
      </c>
      <c r="Q16">
        <f t="shared" si="6"/>
        <v>3.9018580757585231E-4</v>
      </c>
      <c r="U16" s="1" t="s">
        <v>105</v>
      </c>
      <c r="V16" s="4">
        <v>240</v>
      </c>
      <c r="W16" s="4">
        <f t="shared" si="7"/>
        <v>120</v>
      </c>
      <c r="X16" s="4">
        <v>230</v>
      </c>
      <c r="Y16" s="4">
        <f t="shared" si="8"/>
        <v>115</v>
      </c>
      <c r="Z16" s="3">
        <v>80</v>
      </c>
      <c r="AA16">
        <f t="shared" si="9"/>
        <v>8.6707957239078254E-5</v>
      </c>
      <c r="AD16" s="1" t="s">
        <v>17</v>
      </c>
      <c r="AE16" s="4">
        <v>330</v>
      </c>
      <c r="AF16" s="4">
        <f t="shared" si="10"/>
        <v>165</v>
      </c>
      <c r="AG16" s="4">
        <v>354</v>
      </c>
      <c r="AH16" s="4">
        <f t="shared" si="11"/>
        <v>177</v>
      </c>
      <c r="AI16" s="3">
        <v>45</v>
      </c>
      <c r="AJ16">
        <f t="shared" si="12"/>
        <v>5.0462617396449449E-4</v>
      </c>
    </row>
    <row r="17" spans="1:36" x14ac:dyDescent="0.25">
      <c r="A17" s="1" t="s">
        <v>16</v>
      </c>
      <c r="B17" s="4">
        <v>330</v>
      </c>
      <c r="C17" s="1">
        <f t="shared" si="0"/>
        <v>165</v>
      </c>
      <c r="D17" s="4">
        <v>354</v>
      </c>
      <c r="E17" s="1">
        <f t="shared" si="1"/>
        <v>177</v>
      </c>
      <c r="F17" s="1">
        <v>15</v>
      </c>
      <c r="G17">
        <f t="shared" si="2"/>
        <v>7.7987681430876418E-4</v>
      </c>
      <c r="H17">
        <v>94.265613999999999</v>
      </c>
      <c r="I17">
        <f t="shared" si="3"/>
        <v>12.087244071174414</v>
      </c>
      <c r="K17" s="1" t="s">
        <v>101</v>
      </c>
      <c r="L17" s="4">
        <v>240</v>
      </c>
      <c r="M17" s="1">
        <f t="shared" si="4"/>
        <v>120</v>
      </c>
      <c r="N17" s="4">
        <v>230</v>
      </c>
      <c r="O17" s="1">
        <f t="shared" si="5"/>
        <v>115</v>
      </c>
      <c r="P17" s="1">
        <v>0</v>
      </c>
      <c r="Q17">
        <f t="shared" si="6"/>
        <v>4.3353978619539143E-4</v>
      </c>
      <c r="U17" s="1" t="s">
        <v>19</v>
      </c>
      <c r="V17" s="4">
        <v>240</v>
      </c>
      <c r="W17" s="4">
        <f t="shared" si="7"/>
        <v>120</v>
      </c>
      <c r="X17" s="4">
        <v>230</v>
      </c>
      <c r="Y17" s="4">
        <f t="shared" si="8"/>
        <v>115</v>
      </c>
      <c r="Z17" s="1">
        <v>8</v>
      </c>
      <c r="AA17">
        <f t="shared" si="9"/>
        <v>3.9885660329976009E-4</v>
      </c>
      <c r="AD17" s="1" t="s">
        <v>143</v>
      </c>
      <c r="AE17" s="4">
        <v>330</v>
      </c>
      <c r="AF17" s="4">
        <f t="shared" si="10"/>
        <v>165</v>
      </c>
      <c r="AG17" s="4">
        <v>354</v>
      </c>
      <c r="AH17" s="4">
        <f t="shared" si="11"/>
        <v>177</v>
      </c>
      <c r="AI17" s="1">
        <v>4</v>
      </c>
      <c r="AJ17">
        <f t="shared" si="12"/>
        <v>8.8080204910166303E-4</v>
      </c>
    </row>
    <row r="18" spans="1:36" x14ac:dyDescent="0.25">
      <c r="A18" s="1" t="s">
        <v>17</v>
      </c>
      <c r="B18" s="1">
        <v>360</v>
      </c>
      <c r="C18" s="1">
        <f t="shared" si="0"/>
        <v>180</v>
      </c>
      <c r="D18" s="1">
        <v>368</v>
      </c>
      <c r="E18" s="1">
        <f t="shared" si="1"/>
        <v>184</v>
      </c>
      <c r="F18" s="1">
        <v>10</v>
      </c>
      <c r="G18">
        <f t="shared" si="2"/>
        <v>9.3644593818204545E-4</v>
      </c>
      <c r="K18" s="1" t="s">
        <v>74</v>
      </c>
      <c r="L18" s="1">
        <v>240</v>
      </c>
      <c r="M18" s="1">
        <f t="shared" si="4"/>
        <v>120</v>
      </c>
      <c r="N18" s="1">
        <v>230</v>
      </c>
      <c r="O18" s="1">
        <f t="shared" si="5"/>
        <v>115</v>
      </c>
      <c r="P18" s="1">
        <v>10</v>
      </c>
      <c r="Q18">
        <f t="shared" si="6"/>
        <v>3.9018580757585231E-4</v>
      </c>
      <c r="U18" s="1" t="s">
        <v>106</v>
      </c>
      <c r="V18" s="4">
        <v>240</v>
      </c>
      <c r="W18" s="4">
        <f t="shared" si="7"/>
        <v>120</v>
      </c>
      <c r="X18" s="4">
        <v>230</v>
      </c>
      <c r="Y18" s="4">
        <f t="shared" si="8"/>
        <v>115</v>
      </c>
      <c r="Z18" s="3">
        <v>35</v>
      </c>
      <c r="AA18">
        <f t="shared" si="9"/>
        <v>2.8180086102700443E-4</v>
      </c>
      <c r="AD18" s="1" t="s">
        <v>144</v>
      </c>
      <c r="AE18" s="4">
        <v>360</v>
      </c>
      <c r="AF18" s="4">
        <f t="shared" si="10"/>
        <v>180</v>
      </c>
      <c r="AG18" s="4">
        <v>368</v>
      </c>
      <c r="AH18" s="4">
        <f t="shared" si="11"/>
        <v>184</v>
      </c>
      <c r="AI18" s="1">
        <v>1</v>
      </c>
      <c r="AJ18">
        <f t="shared" si="12"/>
        <v>1.0300905320002501E-3</v>
      </c>
    </row>
    <row r="19" spans="1:36" x14ac:dyDescent="0.25">
      <c r="A19" s="1" t="s">
        <v>18</v>
      </c>
      <c r="B19" s="4">
        <v>330</v>
      </c>
      <c r="C19" s="1">
        <f t="shared" si="0"/>
        <v>165</v>
      </c>
      <c r="D19" s="4">
        <v>354</v>
      </c>
      <c r="E19" s="1">
        <f t="shared" si="1"/>
        <v>177</v>
      </c>
      <c r="F19" s="1">
        <v>7</v>
      </c>
      <c r="G19">
        <f t="shared" si="2"/>
        <v>8.5327698506723593E-4</v>
      </c>
      <c r="H19">
        <v>90.186133999999996</v>
      </c>
      <c r="I19">
        <f t="shared" si="3"/>
        <v>10.569385507672351</v>
      </c>
      <c r="K19" s="1" t="s">
        <v>21</v>
      </c>
      <c r="L19" s="1">
        <v>250</v>
      </c>
      <c r="M19" s="1">
        <f t="shared" si="4"/>
        <v>125</v>
      </c>
      <c r="N19" s="1">
        <v>240</v>
      </c>
      <c r="O19" s="1">
        <f t="shared" si="5"/>
        <v>120</v>
      </c>
      <c r="P19" s="1">
        <v>5</v>
      </c>
      <c r="Q19">
        <f t="shared" si="6"/>
        <v>4.4767695313654543E-4</v>
      </c>
      <c r="U19" s="1" t="s">
        <v>20</v>
      </c>
      <c r="V19" s="4">
        <v>250</v>
      </c>
      <c r="W19" s="4">
        <f t="shared" si="7"/>
        <v>125</v>
      </c>
      <c r="X19" s="4">
        <v>240</v>
      </c>
      <c r="Y19" s="4">
        <f t="shared" si="8"/>
        <v>120</v>
      </c>
      <c r="Z19" s="1">
        <v>3</v>
      </c>
      <c r="AA19">
        <f t="shared" si="9"/>
        <v>4.5710173109731486E-4</v>
      </c>
      <c r="AD19" s="1" t="s">
        <v>20</v>
      </c>
      <c r="AE19" s="4">
        <v>330</v>
      </c>
      <c r="AF19" s="4">
        <f t="shared" si="10"/>
        <v>165</v>
      </c>
      <c r="AG19" s="4">
        <v>354</v>
      </c>
      <c r="AH19" s="4">
        <f t="shared" si="11"/>
        <v>177</v>
      </c>
      <c r="AI19" s="1">
        <v>15</v>
      </c>
      <c r="AJ19">
        <f t="shared" si="12"/>
        <v>7.7987681430876418E-4</v>
      </c>
    </row>
    <row r="20" spans="1:36" x14ac:dyDescent="0.25">
      <c r="A20" s="1" t="s">
        <v>19</v>
      </c>
      <c r="B20" s="4">
        <v>330</v>
      </c>
      <c r="C20" s="1">
        <f t="shared" si="0"/>
        <v>165</v>
      </c>
      <c r="D20" s="4">
        <v>354</v>
      </c>
      <c r="E20" s="1">
        <f t="shared" si="1"/>
        <v>177</v>
      </c>
      <c r="F20" s="1">
        <v>7</v>
      </c>
      <c r="G20">
        <f t="shared" si="2"/>
        <v>8.5327698506723593E-4</v>
      </c>
      <c r="H20">
        <v>98.976273000000006</v>
      </c>
      <c r="I20">
        <f t="shared" si="3"/>
        <v>11.599547946579264</v>
      </c>
      <c r="K20" s="1" t="s">
        <v>22</v>
      </c>
      <c r="L20" s="1">
        <v>250</v>
      </c>
      <c r="M20" s="1">
        <f t="shared" si="4"/>
        <v>125</v>
      </c>
      <c r="N20" s="1">
        <v>240</v>
      </c>
      <c r="O20" s="1">
        <f t="shared" si="5"/>
        <v>120</v>
      </c>
      <c r="P20" s="1">
        <v>8</v>
      </c>
      <c r="Q20">
        <f t="shared" si="6"/>
        <v>4.3353978619539143E-4</v>
      </c>
      <c r="U20" s="1" t="s">
        <v>22</v>
      </c>
      <c r="V20" s="4">
        <v>250</v>
      </c>
      <c r="W20" s="4">
        <f t="shared" si="7"/>
        <v>125</v>
      </c>
      <c r="X20" s="4">
        <v>240</v>
      </c>
      <c r="Y20" s="4">
        <f t="shared" si="8"/>
        <v>120</v>
      </c>
      <c r="Z20" s="3">
        <v>80</v>
      </c>
      <c r="AA20">
        <f t="shared" si="9"/>
        <v>9.4247779607693757E-5</v>
      </c>
      <c r="AD20" s="1" t="s">
        <v>22</v>
      </c>
      <c r="AE20" s="4">
        <v>330</v>
      </c>
      <c r="AF20" s="4">
        <f t="shared" si="10"/>
        <v>165</v>
      </c>
      <c r="AG20" s="4">
        <v>354</v>
      </c>
      <c r="AH20" s="4">
        <f t="shared" si="11"/>
        <v>177</v>
      </c>
      <c r="AI20" s="1">
        <v>8</v>
      </c>
      <c r="AJ20">
        <f t="shared" si="12"/>
        <v>8.4410196372242704E-4</v>
      </c>
    </row>
    <row r="21" spans="1:36" x14ac:dyDescent="0.25">
      <c r="A21" s="1" t="s">
        <v>20</v>
      </c>
      <c r="B21" s="1">
        <v>330</v>
      </c>
      <c r="C21" s="1">
        <f t="shared" si="0"/>
        <v>165</v>
      </c>
      <c r="D21" s="1">
        <v>380</v>
      </c>
      <c r="E21" s="1">
        <f t="shared" si="1"/>
        <v>190</v>
      </c>
      <c r="F21" s="1">
        <v>1</v>
      </c>
      <c r="G21">
        <f t="shared" si="2"/>
        <v>9.7504040393139619E-4</v>
      </c>
      <c r="H21">
        <v>48.852767</v>
      </c>
      <c r="I21">
        <f t="shared" si="3"/>
        <v>5.0103325772987439</v>
      </c>
      <c r="K21" s="1" t="s">
        <v>75</v>
      </c>
      <c r="L21" s="4">
        <v>242</v>
      </c>
      <c r="M21" s="1">
        <f t="shared" si="4"/>
        <v>121</v>
      </c>
      <c r="N21" s="4">
        <v>235</v>
      </c>
      <c r="O21" s="1">
        <f t="shared" si="5"/>
        <v>117.5</v>
      </c>
      <c r="P21" s="1">
        <v>1</v>
      </c>
      <c r="Q21">
        <f t="shared" si="6"/>
        <v>4.421893761688876E-4</v>
      </c>
      <c r="U21" s="1" t="s">
        <v>75</v>
      </c>
      <c r="V21" s="4">
        <v>242</v>
      </c>
      <c r="W21" s="4">
        <f t="shared" si="7"/>
        <v>121</v>
      </c>
      <c r="X21" s="4">
        <v>235</v>
      </c>
      <c r="Y21" s="4">
        <f t="shared" si="8"/>
        <v>117.5</v>
      </c>
      <c r="Z21" s="3">
        <v>80</v>
      </c>
      <c r="AA21">
        <f t="shared" si="9"/>
        <v>8.9331187104825749E-5</v>
      </c>
      <c r="AD21" s="1" t="s">
        <v>23</v>
      </c>
      <c r="AE21" s="4">
        <v>330</v>
      </c>
      <c r="AF21" s="4">
        <f t="shared" si="10"/>
        <v>165</v>
      </c>
      <c r="AG21" s="4">
        <v>380</v>
      </c>
      <c r="AH21" s="4">
        <f t="shared" si="11"/>
        <v>190</v>
      </c>
      <c r="AI21" s="1">
        <v>12</v>
      </c>
      <c r="AJ21">
        <f t="shared" si="12"/>
        <v>8.6670258127235209E-4</v>
      </c>
    </row>
    <row r="22" spans="1:36" x14ac:dyDescent="0.25">
      <c r="A22" s="1" t="s">
        <v>21</v>
      </c>
      <c r="B22" s="4">
        <v>376</v>
      </c>
      <c r="C22" s="1">
        <f t="shared" si="0"/>
        <v>188</v>
      </c>
      <c r="D22" s="4">
        <v>396</v>
      </c>
      <c r="E22" s="1">
        <f t="shared" si="1"/>
        <v>198</v>
      </c>
      <c r="F22" s="1">
        <v>1</v>
      </c>
      <c r="G22">
        <f t="shared" si="2"/>
        <v>1.157732184878542E-3</v>
      </c>
      <c r="H22">
        <v>101.323536</v>
      </c>
      <c r="I22">
        <f t="shared" si="3"/>
        <v>8.7518976602200862</v>
      </c>
      <c r="K22" s="1" t="s">
        <v>23</v>
      </c>
      <c r="L22" s="1">
        <v>230</v>
      </c>
      <c r="M22" s="1">
        <f t="shared" si="4"/>
        <v>115</v>
      </c>
      <c r="N22" s="1">
        <v>230</v>
      </c>
      <c r="O22" s="1">
        <f t="shared" si="5"/>
        <v>115</v>
      </c>
      <c r="P22" s="1">
        <v>8</v>
      </c>
      <c r="Q22">
        <f t="shared" si="6"/>
        <v>3.8223757816227024E-4</v>
      </c>
      <c r="U22" s="1" t="s">
        <v>107</v>
      </c>
      <c r="V22" s="4">
        <v>230</v>
      </c>
      <c r="W22" s="4">
        <f t="shared" si="7"/>
        <v>115</v>
      </c>
      <c r="X22" s="4">
        <v>230</v>
      </c>
      <c r="Y22" s="4">
        <f t="shared" si="8"/>
        <v>115</v>
      </c>
      <c r="Z22" s="3">
        <v>35</v>
      </c>
      <c r="AA22">
        <f t="shared" si="9"/>
        <v>2.7005915848421263E-4</v>
      </c>
      <c r="AD22" s="1" t="s">
        <v>24</v>
      </c>
      <c r="AE22" s="4">
        <v>376</v>
      </c>
      <c r="AF22" s="4">
        <f t="shared" si="10"/>
        <v>188</v>
      </c>
      <c r="AG22" s="4">
        <v>396</v>
      </c>
      <c r="AH22" s="4">
        <f t="shared" si="11"/>
        <v>198</v>
      </c>
      <c r="AI22" s="1">
        <v>1</v>
      </c>
      <c r="AJ22">
        <f t="shared" si="12"/>
        <v>1.157732184878542E-3</v>
      </c>
    </row>
    <row r="23" spans="1:36" x14ac:dyDescent="0.25">
      <c r="A23" s="1" t="s">
        <v>22</v>
      </c>
      <c r="B23" s="1">
        <v>370</v>
      </c>
      <c r="C23" s="1">
        <f t="shared" si="0"/>
        <v>185</v>
      </c>
      <c r="D23" s="1">
        <v>390</v>
      </c>
      <c r="E23" s="1">
        <f t="shared" si="1"/>
        <v>195</v>
      </c>
      <c r="F23" s="1">
        <v>8</v>
      </c>
      <c r="G23">
        <f t="shared" si="2"/>
        <v>1.0426631857999166E-3</v>
      </c>
      <c r="H23">
        <v>100.474569</v>
      </c>
      <c r="I23">
        <f t="shared" si="3"/>
        <v>9.6363399387614628</v>
      </c>
      <c r="K23" s="1" t="s">
        <v>25</v>
      </c>
      <c r="L23" s="4">
        <v>242</v>
      </c>
      <c r="M23" s="1">
        <f t="shared" si="4"/>
        <v>121</v>
      </c>
      <c r="N23" s="4">
        <v>235</v>
      </c>
      <c r="O23" s="1">
        <f t="shared" si="5"/>
        <v>117.5</v>
      </c>
      <c r="P23" s="1">
        <v>1</v>
      </c>
      <c r="Q23">
        <f t="shared" si="6"/>
        <v>4.421893761688876E-4</v>
      </c>
      <c r="U23" s="1" t="s">
        <v>24</v>
      </c>
      <c r="V23" s="4">
        <v>242</v>
      </c>
      <c r="W23" s="4">
        <f t="shared" si="7"/>
        <v>121</v>
      </c>
      <c r="X23" s="4">
        <v>235</v>
      </c>
      <c r="Y23" s="4">
        <f t="shared" si="8"/>
        <v>117.5</v>
      </c>
      <c r="Z23" s="3">
        <v>25</v>
      </c>
      <c r="AA23">
        <f t="shared" si="9"/>
        <v>3.3499195164309671E-4</v>
      </c>
      <c r="AD23" s="1" t="s">
        <v>25</v>
      </c>
      <c r="AE23" s="4">
        <v>370</v>
      </c>
      <c r="AF23" s="4">
        <f t="shared" si="10"/>
        <v>185</v>
      </c>
      <c r="AG23" s="4">
        <v>390</v>
      </c>
      <c r="AH23" s="4">
        <f t="shared" si="11"/>
        <v>195</v>
      </c>
      <c r="AI23" s="1">
        <v>1</v>
      </c>
      <c r="AJ23">
        <f t="shared" si="12"/>
        <v>1.1219962542846928E-3</v>
      </c>
    </row>
    <row r="24" spans="1:36" x14ac:dyDescent="0.25">
      <c r="A24" s="1" t="s">
        <v>23</v>
      </c>
      <c r="B24" s="1">
        <v>360</v>
      </c>
      <c r="C24" s="1">
        <f t="shared" si="0"/>
        <v>180</v>
      </c>
      <c r="D24" s="1">
        <v>380</v>
      </c>
      <c r="E24" s="1">
        <f t="shared" si="1"/>
        <v>190</v>
      </c>
      <c r="F24" s="1">
        <v>10</v>
      </c>
      <c r="G24">
        <f t="shared" si="2"/>
        <v>9.669822187749384E-4</v>
      </c>
      <c r="H24">
        <v>101.273122</v>
      </c>
      <c r="I24">
        <f t="shared" si="3"/>
        <v>10.473111090739813</v>
      </c>
      <c r="K24" s="1" t="s">
        <v>76</v>
      </c>
      <c r="L24" s="1">
        <v>230</v>
      </c>
      <c r="M24" s="1">
        <f t="shared" si="4"/>
        <v>115</v>
      </c>
      <c r="N24" s="1">
        <v>240</v>
      </c>
      <c r="O24" s="1">
        <f t="shared" si="5"/>
        <v>120</v>
      </c>
      <c r="P24" s="3">
        <v>8</v>
      </c>
      <c r="Q24">
        <f t="shared" si="6"/>
        <v>3.988566032997602E-4</v>
      </c>
      <c r="U24" s="1" t="s">
        <v>25</v>
      </c>
      <c r="V24" s="4">
        <v>230</v>
      </c>
      <c r="W24" s="4">
        <f t="shared" si="7"/>
        <v>115</v>
      </c>
      <c r="X24" s="4">
        <v>240</v>
      </c>
      <c r="Y24" s="4">
        <f t="shared" si="8"/>
        <v>120</v>
      </c>
      <c r="Z24" s="3">
        <v>50</v>
      </c>
      <c r="AA24">
        <f t="shared" si="9"/>
        <v>2.1676989309769574E-4</v>
      </c>
      <c r="AD24" s="1" t="s">
        <v>131</v>
      </c>
      <c r="AE24" s="4">
        <v>360</v>
      </c>
      <c r="AF24" s="4">
        <f t="shared" si="10"/>
        <v>180</v>
      </c>
      <c r="AG24" s="4">
        <v>380</v>
      </c>
      <c r="AH24" s="4">
        <f t="shared" si="11"/>
        <v>190</v>
      </c>
      <c r="AI24" s="1">
        <v>6</v>
      </c>
      <c r="AJ24">
        <f t="shared" si="12"/>
        <v>1.0099592062760468E-3</v>
      </c>
    </row>
    <row r="25" spans="1:36" x14ac:dyDescent="0.25">
      <c r="A25" s="1" t="s">
        <v>24</v>
      </c>
      <c r="B25" s="1">
        <v>390</v>
      </c>
      <c r="C25" s="1">
        <f t="shared" si="0"/>
        <v>195</v>
      </c>
      <c r="D25" s="1">
        <v>390</v>
      </c>
      <c r="E25" s="1">
        <f t="shared" si="1"/>
        <v>195</v>
      </c>
      <c r="F25" s="1">
        <v>2</v>
      </c>
      <c r="G25">
        <f t="shared" si="2"/>
        <v>1.1706987943969685E-3</v>
      </c>
      <c r="H25">
        <v>93.471092999999996</v>
      </c>
      <c r="I25">
        <f t="shared" si="3"/>
        <v>7.9842136549006471</v>
      </c>
      <c r="K25" s="1" t="s">
        <v>28</v>
      </c>
      <c r="L25" s="1">
        <v>240</v>
      </c>
      <c r="M25" s="1">
        <f t="shared" si="4"/>
        <v>120</v>
      </c>
      <c r="N25" s="1">
        <v>240</v>
      </c>
      <c r="O25" s="1">
        <f t="shared" si="5"/>
        <v>120</v>
      </c>
      <c r="P25" s="1">
        <v>1</v>
      </c>
      <c r="Q25">
        <f t="shared" si="6"/>
        <v>4.4786544869576087E-4</v>
      </c>
      <c r="U25" s="1" t="s">
        <v>108</v>
      </c>
      <c r="V25" s="4">
        <v>240</v>
      </c>
      <c r="W25" s="4">
        <f t="shared" si="7"/>
        <v>120</v>
      </c>
      <c r="X25" s="4">
        <v>240</v>
      </c>
      <c r="Y25" s="4">
        <f t="shared" si="8"/>
        <v>120</v>
      </c>
      <c r="Z25" s="1">
        <v>22</v>
      </c>
      <c r="AA25">
        <f t="shared" si="9"/>
        <v>3.5286368685120555E-4</v>
      </c>
      <c r="AD25" s="1" t="s">
        <v>132</v>
      </c>
      <c r="AE25" s="4">
        <v>390</v>
      </c>
      <c r="AF25" s="4">
        <f t="shared" si="10"/>
        <v>195</v>
      </c>
      <c r="AG25" s="4">
        <v>390</v>
      </c>
      <c r="AH25" s="4">
        <f t="shared" si="11"/>
        <v>195</v>
      </c>
      <c r="AI25" s="1">
        <v>2</v>
      </c>
      <c r="AJ25">
        <f t="shared" si="12"/>
        <v>1.1706987943969685E-3</v>
      </c>
    </row>
    <row r="26" spans="1:36" x14ac:dyDescent="0.25">
      <c r="A26" s="1" t="s">
        <v>25</v>
      </c>
      <c r="B26" s="1">
        <v>430</v>
      </c>
      <c r="C26" s="1">
        <f t="shared" si="0"/>
        <v>215</v>
      </c>
      <c r="D26" s="1">
        <v>440</v>
      </c>
      <c r="E26" s="1">
        <f t="shared" si="1"/>
        <v>220</v>
      </c>
      <c r="F26" s="1">
        <v>2</v>
      </c>
      <c r="G26">
        <f t="shared" si="2"/>
        <v>1.4562538586450127E-3</v>
      </c>
      <c r="H26">
        <v>125.100669</v>
      </c>
      <c r="I26">
        <f t="shared" si="3"/>
        <v>8.5905811172511708</v>
      </c>
      <c r="K26" s="1" t="s">
        <v>77</v>
      </c>
      <c r="L26" s="4">
        <v>235</v>
      </c>
      <c r="M26" s="1">
        <f t="shared" si="4"/>
        <v>117.5</v>
      </c>
      <c r="N26" s="4">
        <v>240</v>
      </c>
      <c r="O26" s="1">
        <f t="shared" si="5"/>
        <v>120</v>
      </c>
      <c r="P26" s="1">
        <v>0</v>
      </c>
      <c r="Q26">
        <f t="shared" si="6"/>
        <v>4.4296456415616087E-4</v>
      </c>
      <c r="U26" s="1" t="s">
        <v>109</v>
      </c>
      <c r="V26" s="4">
        <v>235</v>
      </c>
      <c r="W26" s="4">
        <f t="shared" si="7"/>
        <v>117.5</v>
      </c>
      <c r="X26" s="4">
        <v>240</v>
      </c>
      <c r="Y26" s="4">
        <f t="shared" si="8"/>
        <v>120</v>
      </c>
      <c r="Z26" s="3">
        <v>25</v>
      </c>
      <c r="AA26">
        <f t="shared" si="9"/>
        <v>3.3222342311712064E-4</v>
      </c>
      <c r="AD26" s="1" t="s">
        <v>109</v>
      </c>
      <c r="AE26" s="4">
        <v>430</v>
      </c>
      <c r="AF26" s="4">
        <f t="shared" si="10"/>
        <v>215</v>
      </c>
      <c r="AG26" s="4">
        <v>440</v>
      </c>
      <c r="AH26" s="4">
        <f t="shared" si="11"/>
        <v>220</v>
      </c>
      <c r="AI26" s="1">
        <v>12</v>
      </c>
      <c r="AJ26">
        <f t="shared" si="12"/>
        <v>1.3076565261302155E-3</v>
      </c>
    </row>
    <row r="27" spans="1:36" x14ac:dyDescent="0.25">
      <c r="A27" s="1" t="s">
        <v>26</v>
      </c>
      <c r="B27" s="4">
        <v>376</v>
      </c>
      <c r="C27" s="1">
        <f t="shared" si="0"/>
        <v>188</v>
      </c>
      <c r="D27" s="4">
        <v>396</v>
      </c>
      <c r="E27" s="1">
        <f t="shared" si="1"/>
        <v>198</v>
      </c>
      <c r="F27" s="1">
        <v>4</v>
      </c>
      <c r="G27">
        <f t="shared" si="2"/>
        <v>1.122649391397374E-3</v>
      </c>
      <c r="H27">
        <v>103.38243300000001</v>
      </c>
      <c r="I27">
        <f t="shared" si="3"/>
        <v>9.208790722392747</v>
      </c>
      <c r="K27" s="1" t="s">
        <v>29</v>
      </c>
      <c r="L27" s="4">
        <v>200</v>
      </c>
      <c r="M27" s="1">
        <f t="shared" si="4"/>
        <v>100</v>
      </c>
      <c r="N27" s="4">
        <v>240</v>
      </c>
      <c r="O27" s="1">
        <f t="shared" si="5"/>
        <v>120</v>
      </c>
      <c r="P27" s="1">
        <v>0</v>
      </c>
      <c r="Q27">
        <f t="shared" si="6"/>
        <v>3.7699111843077519E-4</v>
      </c>
      <c r="U27" s="1" t="s">
        <v>110</v>
      </c>
      <c r="V27" s="4">
        <v>200</v>
      </c>
      <c r="W27" s="4">
        <f t="shared" si="7"/>
        <v>100</v>
      </c>
      <c r="X27" s="4">
        <v>240</v>
      </c>
      <c r="Y27" s="4">
        <f t="shared" si="8"/>
        <v>120</v>
      </c>
      <c r="Z27" s="3">
        <v>75</v>
      </c>
      <c r="AA27">
        <f t="shared" si="9"/>
        <v>9.4247779607693798E-5</v>
      </c>
      <c r="AD27" s="1" t="s">
        <v>111</v>
      </c>
      <c r="AE27" s="4">
        <v>376</v>
      </c>
      <c r="AF27" s="4">
        <f t="shared" si="10"/>
        <v>188</v>
      </c>
      <c r="AG27" s="4">
        <v>396</v>
      </c>
      <c r="AH27" s="4">
        <f t="shared" si="11"/>
        <v>198</v>
      </c>
      <c r="AI27" s="3">
        <v>80</v>
      </c>
      <c r="AJ27">
        <f t="shared" si="12"/>
        <v>2.3388528987445287E-4</v>
      </c>
    </row>
    <row r="28" spans="1:36" x14ac:dyDescent="0.25">
      <c r="A28" s="1" t="s">
        <v>27</v>
      </c>
      <c r="B28" s="4">
        <v>376</v>
      </c>
      <c r="C28" s="1">
        <f t="shared" si="0"/>
        <v>188</v>
      </c>
      <c r="D28" s="4">
        <v>396</v>
      </c>
      <c r="E28" s="1">
        <f t="shared" si="1"/>
        <v>198</v>
      </c>
      <c r="F28" s="1">
        <v>20</v>
      </c>
      <c r="G28">
        <f t="shared" si="2"/>
        <v>9.3554115949781179E-4</v>
      </c>
      <c r="H28">
        <v>106.292314</v>
      </c>
      <c r="I28">
        <f t="shared" si="3"/>
        <v>11.361586063947904</v>
      </c>
      <c r="K28" s="1" t="s">
        <v>30</v>
      </c>
      <c r="L28" s="4">
        <v>200</v>
      </c>
      <c r="M28" s="1">
        <f t="shared" si="4"/>
        <v>100</v>
      </c>
      <c r="N28" s="4">
        <v>240</v>
      </c>
      <c r="O28" s="1">
        <f t="shared" si="5"/>
        <v>120</v>
      </c>
      <c r="P28" s="1">
        <v>0</v>
      </c>
      <c r="Q28">
        <f t="shared" si="6"/>
        <v>3.7699111843077519E-4</v>
      </c>
      <c r="U28" s="1" t="s">
        <v>29</v>
      </c>
      <c r="V28" s="4">
        <v>200</v>
      </c>
      <c r="W28" s="4">
        <f t="shared" si="7"/>
        <v>100</v>
      </c>
      <c r="X28" s="4">
        <v>240</v>
      </c>
      <c r="Y28" s="4">
        <f t="shared" si="8"/>
        <v>120</v>
      </c>
      <c r="Z28" s="3">
        <v>45</v>
      </c>
      <c r="AA28">
        <f t="shared" si="9"/>
        <v>2.0734511513692636E-4</v>
      </c>
      <c r="AD28" s="1" t="s">
        <v>31</v>
      </c>
      <c r="AE28" s="4">
        <v>376</v>
      </c>
      <c r="AF28" s="4">
        <f t="shared" si="10"/>
        <v>188</v>
      </c>
      <c r="AG28" s="4">
        <v>396</v>
      </c>
      <c r="AH28" s="4">
        <f t="shared" si="11"/>
        <v>198</v>
      </c>
      <c r="AI28" s="3">
        <v>85</v>
      </c>
      <c r="AJ28">
        <f t="shared" si="12"/>
        <v>1.7541396740583973E-4</v>
      </c>
    </row>
    <row r="29" spans="1:36" x14ac:dyDescent="0.25">
      <c r="A29" s="1" t="s">
        <v>28</v>
      </c>
      <c r="B29" s="4">
        <v>376</v>
      </c>
      <c r="C29" s="1">
        <f t="shared" si="0"/>
        <v>188</v>
      </c>
      <c r="D29" s="4">
        <v>396</v>
      </c>
      <c r="E29" s="1">
        <f t="shared" si="1"/>
        <v>198</v>
      </c>
      <c r="F29" s="1">
        <v>15</v>
      </c>
      <c r="G29">
        <f t="shared" si="2"/>
        <v>9.9401248196642495E-4</v>
      </c>
      <c r="H29">
        <v>110.680325</v>
      </c>
      <c r="I29">
        <f t="shared" si="3"/>
        <v>11.134701727391235</v>
      </c>
      <c r="K29" s="1" t="s">
        <v>31</v>
      </c>
      <c r="L29" s="4">
        <v>200</v>
      </c>
      <c r="M29" s="1">
        <f t="shared" si="4"/>
        <v>100</v>
      </c>
      <c r="N29" s="4">
        <v>240</v>
      </c>
      <c r="O29" s="1">
        <f t="shared" si="5"/>
        <v>120</v>
      </c>
      <c r="P29" s="1">
        <v>1</v>
      </c>
      <c r="Q29">
        <f t="shared" si="6"/>
        <v>3.7322120724646741E-4</v>
      </c>
      <c r="U29" s="1" t="s">
        <v>111</v>
      </c>
      <c r="V29" s="4">
        <v>200</v>
      </c>
      <c r="W29" s="4">
        <f t="shared" si="7"/>
        <v>100</v>
      </c>
      <c r="X29" s="4">
        <v>240</v>
      </c>
      <c r="Y29" s="4">
        <f t="shared" si="8"/>
        <v>120</v>
      </c>
      <c r="Z29" s="3">
        <v>70</v>
      </c>
      <c r="AA29">
        <f t="shared" si="9"/>
        <v>1.1309733552923256E-4</v>
      </c>
      <c r="AD29" s="1" t="s">
        <v>112</v>
      </c>
      <c r="AE29" s="4">
        <v>376</v>
      </c>
      <c r="AF29" s="4">
        <f t="shared" si="10"/>
        <v>188</v>
      </c>
      <c r="AG29" s="4">
        <v>396</v>
      </c>
      <c r="AH29" s="4">
        <f t="shared" si="11"/>
        <v>198</v>
      </c>
      <c r="AI29" s="1">
        <v>12</v>
      </c>
      <c r="AJ29">
        <f t="shared" si="12"/>
        <v>1.029095275447593E-3</v>
      </c>
    </row>
    <row r="30" spans="1:36" x14ac:dyDescent="0.25">
      <c r="A30" s="1" t="s">
        <v>29</v>
      </c>
      <c r="B30" s="1">
        <v>340</v>
      </c>
      <c r="C30" s="1">
        <f t="shared" si="0"/>
        <v>170</v>
      </c>
      <c r="D30" s="1">
        <v>360</v>
      </c>
      <c r="E30" s="1">
        <f t="shared" si="1"/>
        <v>180</v>
      </c>
      <c r="F30" s="1">
        <v>2</v>
      </c>
      <c r="G30">
        <f t="shared" si="2"/>
        <v>9.4210080495850705E-4</v>
      </c>
      <c r="H30">
        <v>44.715063999999998</v>
      </c>
      <c r="I30">
        <f t="shared" si="3"/>
        <v>4.7463141698482456</v>
      </c>
      <c r="K30" s="1" t="s">
        <v>78</v>
      </c>
      <c r="L30" s="4">
        <v>200</v>
      </c>
      <c r="M30" s="1">
        <f t="shared" si="4"/>
        <v>100</v>
      </c>
      <c r="N30" s="4">
        <v>240</v>
      </c>
      <c r="O30" s="1">
        <f t="shared" si="5"/>
        <v>120</v>
      </c>
      <c r="P30" s="1">
        <v>1</v>
      </c>
      <c r="Q30">
        <f t="shared" si="6"/>
        <v>3.7322120724646741E-4</v>
      </c>
      <c r="U30" s="1" t="s">
        <v>112</v>
      </c>
      <c r="V30" s="4">
        <v>200</v>
      </c>
      <c r="W30" s="4">
        <f t="shared" si="7"/>
        <v>100</v>
      </c>
      <c r="X30" s="4">
        <v>240</v>
      </c>
      <c r="Y30" s="4">
        <f t="shared" si="8"/>
        <v>120</v>
      </c>
      <c r="Z30" s="1">
        <v>20</v>
      </c>
      <c r="AA30">
        <f t="shared" si="9"/>
        <v>3.0159289474462013E-4</v>
      </c>
      <c r="AD30" s="1" t="s">
        <v>34</v>
      </c>
      <c r="AE30" s="4">
        <v>340</v>
      </c>
      <c r="AF30" s="4">
        <f t="shared" si="10"/>
        <v>170</v>
      </c>
      <c r="AG30" s="4">
        <v>360</v>
      </c>
      <c r="AH30" s="4">
        <f t="shared" si="11"/>
        <v>180</v>
      </c>
      <c r="AI30" s="1">
        <v>18</v>
      </c>
      <c r="AJ30">
        <f t="shared" si="12"/>
        <v>7.8828842863875096E-4</v>
      </c>
    </row>
    <row r="31" spans="1:36" x14ac:dyDescent="0.25">
      <c r="A31" s="1" t="s">
        <v>30</v>
      </c>
      <c r="B31" s="4">
        <v>380</v>
      </c>
      <c r="C31" s="1">
        <f t="shared" si="0"/>
        <v>190</v>
      </c>
      <c r="D31" s="4">
        <v>394</v>
      </c>
      <c r="E31" s="1">
        <f t="shared" si="1"/>
        <v>197</v>
      </c>
      <c r="F31" s="1">
        <v>3</v>
      </c>
      <c r="G31">
        <f t="shared" si="2"/>
        <v>1.1406211863314998E-3</v>
      </c>
      <c r="H31">
        <v>117.09496799999999</v>
      </c>
      <c r="I31">
        <f t="shared" si="3"/>
        <v>10.265894532136858</v>
      </c>
      <c r="K31" s="1" t="s">
        <v>33</v>
      </c>
      <c r="L31" s="1">
        <v>200</v>
      </c>
      <c r="M31" s="1">
        <f t="shared" si="4"/>
        <v>100</v>
      </c>
      <c r="N31" s="1">
        <v>240</v>
      </c>
      <c r="O31" s="1">
        <f t="shared" si="5"/>
        <v>120</v>
      </c>
      <c r="P31" s="3">
        <v>20</v>
      </c>
      <c r="Q31">
        <f t="shared" si="6"/>
        <v>3.0159289474462013E-4</v>
      </c>
      <c r="U31" s="1" t="s">
        <v>33</v>
      </c>
      <c r="V31" s="4">
        <v>200</v>
      </c>
      <c r="W31" s="4">
        <f t="shared" si="7"/>
        <v>100</v>
      </c>
      <c r="X31" s="4">
        <v>240</v>
      </c>
      <c r="Y31" s="4">
        <f t="shared" si="8"/>
        <v>120</v>
      </c>
      <c r="Z31" s="1">
        <v>20</v>
      </c>
      <c r="AA31">
        <f t="shared" si="9"/>
        <v>3.0159289474462013E-4</v>
      </c>
      <c r="AD31" s="1" t="s">
        <v>133</v>
      </c>
      <c r="AE31" s="4">
        <v>380</v>
      </c>
      <c r="AF31" s="4">
        <f t="shared" si="10"/>
        <v>190</v>
      </c>
      <c r="AG31" s="4">
        <v>394</v>
      </c>
      <c r="AH31" s="4">
        <f t="shared" si="11"/>
        <v>197</v>
      </c>
      <c r="AI31" s="3">
        <v>80</v>
      </c>
      <c r="AJ31">
        <f t="shared" si="12"/>
        <v>2.3517962604773188E-4</v>
      </c>
    </row>
    <row r="32" spans="1:36" x14ac:dyDescent="0.25">
      <c r="A32" s="1" t="s">
        <v>31</v>
      </c>
      <c r="B32" s="1">
        <v>390</v>
      </c>
      <c r="C32" s="1">
        <f t="shared" si="0"/>
        <v>195</v>
      </c>
      <c r="D32" s="1">
        <v>400</v>
      </c>
      <c r="E32" s="1">
        <f t="shared" si="1"/>
        <v>200</v>
      </c>
      <c r="F32" s="1">
        <v>15</v>
      </c>
      <c r="G32">
        <f t="shared" si="2"/>
        <v>1.0414379646650164E-3</v>
      </c>
      <c r="H32">
        <v>115.304272</v>
      </c>
      <c r="I32">
        <f t="shared" si="3"/>
        <v>11.071640934185474</v>
      </c>
      <c r="K32" s="1" t="s">
        <v>34</v>
      </c>
      <c r="L32" s="1">
        <v>150</v>
      </c>
      <c r="M32" s="1">
        <f t="shared" si="4"/>
        <v>75</v>
      </c>
      <c r="N32" s="1">
        <v>260</v>
      </c>
      <c r="O32" s="1">
        <f t="shared" si="5"/>
        <v>130</v>
      </c>
      <c r="P32" s="3">
        <v>50</v>
      </c>
      <c r="Q32">
        <f t="shared" si="6"/>
        <v>1.531526418625024E-4</v>
      </c>
      <c r="U32" s="1" t="s">
        <v>113</v>
      </c>
      <c r="V32" s="4">
        <v>150</v>
      </c>
      <c r="W32" s="4">
        <f t="shared" si="7"/>
        <v>75</v>
      </c>
      <c r="X32" s="4">
        <v>260</v>
      </c>
      <c r="Y32" s="4">
        <f t="shared" si="8"/>
        <v>130</v>
      </c>
      <c r="Z32" s="3">
        <v>35</v>
      </c>
      <c r="AA32">
        <f t="shared" si="9"/>
        <v>1.9909843442125316E-4</v>
      </c>
      <c r="AD32" s="1" t="s">
        <v>114</v>
      </c>
      <c r="AE32" s="4">
        <v>390</v>
      </c>
      <c r="AF32" s="4">
        <f t="shared" si="10"/>
        <v>195</v>
      </c>
      <c r="AG32" s="4">
        <v>400</v>
      </c>
      <c r="AH32" s="4">
        <f t="shared" si="11"/>
        <v>200</v>
      </c>
      <c r="AI32" s="3">
        <v>50</v>
      </c>
      <c r="AJ32">
        <f t="shared" si="12"/>
        <v>6.1261056745000959E-4</v>
      </c>
    </row>
    <row r="33" spans="1:36" x14ac:dyDescent="0.25">
      <c r="A33" s="1" t="s">
        <v>32</v>
      </c>
      <c r="B33" s="4">
        <v>380</v>
      </c>
      <c r="C33" s="1">
        <f t="shared" si="0"/>
        <v>190</v>
      </c>
      <c r="D33" s="4">
        <v>394</v>
      </c>
      <c r="E33" s="1">
        <f t="shared" si="1"/>
        <v>197</v>
      </c>
      <c r="F33" s="1">
        <v>4</v>
      </c>
      <c r="G33">
        <f t="shared" si="2"/>
        <v>1.1288622050291133E-3</v>
      </c>
      <c r="H33">
        <v>118.198021</v>
      </c>
      <c r="I33">
        <f t="shared" si="3"/>
        <v>10.470544630994327</v>
      </c>
      <c r="K33" s="1" t="s">
        <v>79</v>
      </c>
      <c r="L33" s="1">
        <v>250</v>
      </c>
      <c r="M33" s="1">
        <f t="shared" si="4"/>
        <v>125</v>
      </c>
      <c r="N33" s="1">
        <v>240</v>
      </c>
      <c r="O33" s="1">
        <f t="shared" si="5"/>
        <v>120</v>
      </c>
      <c r="P33" s="1">
        <v>8</v>
      </c>
      <c r="Q33">
        <f t="shared" si="6"/>
        <v>4.3353978619539143E-4</v>
      </c>
      <c r="U33" s="1" t="s">
        <v>114</v>
      </c>
      <c r="V33" s="4">
        <v>250</v>
      </c>
      <c r="W33" s="4">
        <f t="shared" si="7"/>
        <v>125</v>
      </c>
      <c r="X33" s="4">
        <v>240</v>
      </c>
      <c r="Y33" s="4">
        <f t="shared" si="8"/>
        <v>120</v>
      </c>
      <c r="Z33" s="3">
        <v>40</v>
      </c>
      <c r="AA33">
        <f t="shared" si="9"/>
        <v>2.8274333882308131E-4</v>
      </c>
      <c r="AD33" s="1" t="s">
        <v>134</v>
      </c>
      <c r="AE33" s="4">
        <v>380</v>
      </c>
      <c r="AF33" s="4">
        <f t="shared" si="10"/>
        <v>190</v>
      </c>
      <c r="AG33" s="4">
        <v>394</v>
      </c>
      <c r="AH33" s="4">
        <f t="shared" si="11"/>
        <v>197</v>
      </c>
      <c r="AI33" s="1">
        <v>4</v>
      </c>
      <c r="AJ33">
        <f t="shared" si="12"/>
        <v>1.1288622050291133E-3</v>
      </c>
    </row>
    <row r="34" spans="1:36" x14ac:dyDescent="0.25">
      <c r="A34" s="1" t="s">
        <v>33</v>
      </c>
      <c r="B34" s="4">
        <v>380</v>
      </c>
      <c r="C34" s="1">
        <f t="shared" si="0"/>
        <v>190</v>
      </c>
      <c r="D34" s="4">
        <v>394</v>
      </c>
      <c r="E34" s="1">
        <f t="shared" si="1"/>
        <v>197</v>
      </c>
      <c r="F34" s="1">
        <v>2</v>
      </c>
      <c r="G34">
        <f t="shared" si="2"/>
        <v>1.1523801676338865E-3</v>
      </c>
      <c r="H34">
        <v>118.427907</v>
      </c>
      <c r="I34">
        <f t="shared" si="3"/>
        <v>10.276808845396999</v>
      </c>
      <c r="K34" s="1" t="s">
        <v>80</v>
      </c>
      <c r="L34" s="1">
        <v>250</v>
      </c>
      <c r="M34" s="1">
        <f t="shared" si="4"/>
        <v>125</v>
      </c>
      <c r="N34" s="1">
        <v>260</v>
      </c>
      <c r="O34" s="1">
        <f t="shared" si="5"/>
        <v>130</v>
      </c>
      <c r="P34" s="1">
        <v>0</v>
      </c>
      <c r="Q34">
        <f t="shared" si="6"/>
        <v>5.1050880620834131E-4</v>
      </c>
      <c r="U34" s="1" t="s">
        <v>115</v>
      </c>
      <c r="V34" s="4">
        <v>250</v>
      </c>
      <c r="W34" s="4">
        <f t="shared" si="7"/>
        <v>125</v>
      </c>
      <c r="X34" s="4">
        <v>260</v>
      </c>
      <c r="Y34" s="4">
        <f t="shared" si="8"/>
        <v>130</v>
      </c>
      <c r="Z34" s="3">
        <v>70</v>
      </c>
      <c r="AA34">
        <f t="shared" si="9"/>
        <v>1.5315264186250243E-4</v>
      </c>
      <c r="AD34" s="1" t="s">
        <v>81</v>
      </c>
      <c r="AE34" s="4">
        <v>380</v>
      </c>
      <c r="AF34" s="4">
        <f t="shared" si="10"/>
        <v>190</v>
      </c>
      <c r="AG34" s="4">
        <v>394</v>
      </c>
      <c r="AH34" s="4">
        <f t="shared" si="11"/>
        <v>197</v>
      </c>
      <c r="AI34" s="3">
        <v>40</v>
      </c>
      <c r="AJ34">
        <f t="shared" si="12"/>
        <v>7.0553887814319577E-4</v>
      </c>
    </row>
    <row r="35" spans="1:36" x14ac:dyDescent="0.25">
      <c r="A35" s="1" t="s">
        <v>34</v>
      </c>
      <c r="B35" s="1">
        <v>410</v>
      </c>
      <c r="C35" s="1">
        <f t="shared" si="0"/>
        <v>205</v>
      </c>
      <c r="D35" s="1">
        <v>420</v>
      </c>
      <c r="E35" s="1">
        <f t="shared" si="1"/>
        <v>210</v>
      </c>
      <c r="F35" s="1">
        <v>2</v>
      </c>
      <c r="G35">
        <f t="shared" si="2"/>
        <v>1.3254065246229977E-3</v>
      </c>
      <c r="H35">
        <v>128.80507</v>
      </c>
      <c r="I35">
        <f t="shared" si="3"/>
        <v>9.718155721063594</v>
      </c>
      <c r="K35" s="1" t="s">
        <v>81</v>
      </c>
      <c r="L35" s="4">
        <v>250</v>
      </c>
      <c r="M35" s="1">
        <f t="shared" si="4"/>
        <v>125</v>
      </c>
      <c r="N35" s="4">
        <v>240</v>
      </c>
      <c r="O35" s="1">
        <f t="shared" si="5"/>
        <v>120</v>
      </c>
      <c r="P35" s="1">
        <v>2</v>
      </c>
      <c r="Q35">
        <f t="shared" si="6"/>
        <v>4.6181412007769953E-4</v>
      </c>
      <c r="U35" s="1" t="s">
        <v>116</v>
      </c>
      <c r="V35" s="4">
        <v>250</v>
      </c>
      <c r="W35" s="4">
        <f t="shared" si="7"/>
        <v>125</v>
      </c>
      <c r="X35" s="4">
        <v>240</v>
      </c>
      <c r="Y35" s="4">
        <f t="shared" si="8"/>
        <v>120</v>
      </c>
      <c r="Z35" s="1">
        <v>10</v>
      </c>
      <c r="AA35">
        <f t="shared" si="9"/>
        <v>4.24115008234622E-4</v>
      </c>
      <c r="AD35" s="1" t="s">
        <v>38</v>
      </c>
      <c r="AE35" s="4">
        <v>410</v>
      </c>
      <c r="AF35" s="4">
        <f t="shared" si="10"/>
        <v>205</v>
      </c>
      <c r="AG35" s="4">
        <v>420</v>
      </c>
      <c r="AH35" s="4">
        <f t="shared" si="11"/>
        <v>210</v>
      </c>
      <c r="AI35" s="1">
        <v>3</v>
      </c>
      <c r="AJ35">
        <f t="shared" si="12"/>
        <v>1.3118819682492937E-3</v>
      </c>
    </row>
    <row r="36" spans="1:36" x14ac:dyDescent="0.25">
      <c r="A36" s="1" t="s">
        <v>35</v>
      </c>
      <c r="B36" s="4">
        <v>380</v>
      </c>
      <c r="C36" s="1">
        <f t="shared" si="0"/>
        <v>190</v>
      </c>
      <c r="D36" s="4">
        <v>394</v>
      </c>
      <c r="E36" s="1">
        <f t="shared" si="1"/>
        <v>197</v>
      </c>
      <c r="F36" s="1">
        <v>10</v>
      </c>
      <c r="G36">
        <f t="shared" si="2"/>
        <v>1.0583083172147937E-3</v>
      </c>
      <c r="H36">
        <v>116.86911499999999</v>
      </c>
      <c r="I36">
        <f t="shared" si="3"/>
        <v>11.043012050360774</v>
      </c>
      <c r="K36" s="1" t="s">
        <v>37</v>
      </c>
      <c r="L36" s="4">
        <v>250</v>
      </c>
      <c r="M36" s="1">
        <f t="shared" si="4"/>
        <v>125</v>
      </c>
      <c r="N36" s="4">
        <v>240</v>
      </c>
      <c r="O36" s="1">
        <f t="shared" si="5"/>
        <v>120</v>
      </c>
      <c r="P36" s="1">
        <v>2</v>
      </c>
      <c r="Q36">
        <f t="shared" si="6"/>
        <v>4.6181412007769953E-4</v>
      </c>
      <c r="U36" s="1" t="s">
        <v>81</v>
      </c>
      <c r="V36" s="4">
        <v>250</v>
      </c>
      <c r="W36" s="4">
        <f t="shared" si="7"/>
        <v>125</v>
      </c>
      <c r="X36" s="4">
        <v>240</v>
      </c>
      <c r="Y36" s="4">
        <f t="shared" si="8"/>
        <v>120</v>
      </c>
      <c r="Z36" s="3">
        <v>35</v>
      </c>
      <c r="AA36">
        <f t="shared" si="9"/>
        <v>3.063052837250048E-4</v>
      </c>
      <c r="AD36" s="1" t="s">
        <v>83</v>
      </c>
      <c r="AE36" s="4">
        <v>380</v>
      </c>
      <c r="AF36" s="4">
        <f t="shared" si="10"/>
        <v>190</v>
      </c>
      <c r="AG36" s="4">
        <v>394</v>
      </c>
      <c r="AH36" s="4">
        <f t="shared" si="11"/>
        <v>197</v>
      </c>
      <c r="AI36" s="3">
        <v>80</v>
      </c>
      <c r="AJ36">
        <f t="shared" si="12"/>
        <v>2.3517962604773188E-4</v>
      </c>
    </row>
    <row r="37" spans="1:36" x14ac:dyDescent="0.25">
      <c r="A37" s="1" t="s">
        <v>36</v>
      </c>
      <c r="B37" s="4">
        <v>380</v>
      </c>
      <c r="C37" s="1">
        <f t="shared" si="0"/>
        <v>190</v>
      </c>
      <c r="D37" s="4">
        <v>394</v>
      </c>
      <c r="E37" s="1">
        <f t="shared" si="1"/>
        <v>197</v>
      </c>
      <c r="F37" s="1">
        <v>8</v>
      </c>
      <c r="G37">
        <f t="shared" si="2"/>
        <v>1.081826279819567E-3</v>
      </c>
      <c r="H37">
        <v>119.47248</v>
      </c>
      <c r="I37">
        <f t="shared" si="3"/>
        <v>11.043591954516607</v>
      </c>
      <c r="K37" s="1" t="s">
        <v>38</v>
      </c>
      <c r="L37" s="4">
        <v>250</v>
      </c>
      <c r="M37" s="1">
        <f t="shared" si="4"/>
        <v>125</v>
      </c>
      <c r="N37" s="4">
        <v>240</v>
      </c>
      <c r="O37" s="1">
        <f t="shared" si="5"/>
        <v>120</v>
      </c>
      <c r="P37" s="1">
        <v>2</v>
      </c>
      <c r="Q37">
        <f t="shared" si="6"/>
        <v>4.6181412007769953E-4</v>
      </c>
      <c r="U37" s="1" t="s">
        <v>37</v>
      </c>
      <c r="V37" s="4">
        <v>250</v>
      </c>
      <c r="W37" s="4">
        <f t="shared" si="7"/>
        <v>125</v>
      </c>
      <c r="X37" s="4">
        <v>240</v>
      </c>
      <c r="Y37" s="4">
        <f t="shared" si="8"/>
        <v>120</v>
      </c>
      <c r="Z37" s="3">
        <v>85</v>
      </c>
      <c r="AA37">
        <f t="shared" si="9"/>
        <v>7.0685834705770342E-5</v>
      </c>
      <c r="AD37" s="1" t="s">
        <v>85</v>
      </c>
      <c r="AE37" s="4">
        <v>380</v>
      </c>
      <c r="AF37" s="4">
        <f t="shared" si="10"/>
        <v>190</v>
      </c>
      <c r="AG37" s="4">
        <v>394</v>
      </c>
      <c r="AH37" s="4">
        <f t="shared" si="11"/>
        <v>197</v>
      </c>
      <c r="AI37" s="1">
        <v>2</v>
      </c>
      <c r="AJ37">
        <f t="shared" si="12"/>
        <v>1.1523801676338865E-3</v>
      </c>
    </row>
    <row r="38" spans="1:36" x14ac:dyDescent="0.25">
      <c r="A38" s="1" t="s">
        <v>37</v>
      </c>
      <c r="B38" s="1">
        <v>380</v>
      </c>
      <c r="C38" s="1">
        <f t="shared" si="0"/>
        <v>190</v>
      </c>
      <c r="D38" s="1">
        <v>410</v>
      </c>
      <c r="E38" s="1">
        <f t="shared" si="1"/>
        <v>205</v>
      </c>
      <c r="F38" s="1">
        <v>2</v>
      </c>
      <c r="G38">
        <f t="shared" si="2"/>
        <v>1.19917733180176E-3</v>
      </c>
      <c r="H38">
        <v>125.96778500000001</v>
      </c>
      <c r="I38">
        <f t="shared" si="3"/>
        <v>10.504516859965477</v>
      </c>
      <c r="K38" s="1" t="s">
        <v>82</v>
      </c>
      <c r="L38" s="4">
        <v>250</v>
      </c>
      <c r="M38" s="1">
        <f t="shared" si="4"/>
        <v>125</v>
      </c>
      <c r="N38" s="4">
        <v>240</v>
      </c>
      <c r="O38" s="1">
        <f t="shared" si="5"/>
        <v>120</v>
      </c>
      <c r="P38" s="1">
        <v>2</v>
      </c>
      <c r="Q38">
        <f t="shared" si="6"/>
        <v>4.6181412007769953E-4</v>
      </c>
      <c r="U38" s="1" t="s">
        <v>38</v>
      </c>
      <c r="V38" s="4">
        <v>250</v>
      </c>
      <c r="W38" s="4">
        <f t="shared" si="7"/>
        <v>125</v>
      </c>
      <c r="X38" s="4">
        <v>240</v>
      </c>
      <c r="Y38" s="4">
        <f t="shared" si="8"/>
        <v>120</v>
      </c>
      <c r="Z38" s="3">
        <v>15</v>
      </c>
      <c r="AA38">
        <f t="shared" si="9"/>
        <v>4.0055306333269857E-4</v>
      </c>
      <c r="AD38" s="1" t="s">
        <v>41</v>
      </c>
      <c r="AE38" s="4">
        <v>380</v>
      </c>
      <c r="AF38" s="4">
        <f t="shared" si="10"/>
        <v>190</v>
      </c>
      <c r="AG38" s="4">
        <v>410</v>
      </c>
      <c r="AH38" s="4">
        <f t="shared" si="11"/>
        <v>205</v>
      </c>
      <c r="AI38" s="1">
        <v>10</v>
      </c>
      <c r="AJ38">
        <f t="shared" si="12"/>
        <v>1.1012853047159021E-3</v>
      </c>
    </row>
    <row r="39" spans="1:36" x14ac:dyDescent="0.25">
      <c r="A39" s="1" t="s">
        <v>38</v>
      </c>
      <c r="B39" s="4">
        <v>395</v>
      </c>
      <c r="C39" s="1">
        <f t="shared" si="0"/>
        <v>197.5</v>
      </c>
      <c r="D39" s="4">
        <v>410</v>
      </c>
      <c r="E39" s="1">
        <f t="shared" si="1"/>
        <v>205</v>
      </c>
      <c r="F39" s="1">
        <v>6</v>
      </c>
      <c r="G39">
        <f t="shared" si="2"/>
        <v>1.1956351860848374E-3</v>
      </c>
      <c r="H39">
        <v>118.542851</v>
      </c>
      <c r="I39">
        <f t="shared" si="3"/>
        <v>9.9146338598627253</v>
      </c>
      <c r="K39" s="1" t="s">
        <v>83</v>
      </c>
      <c r="L39" s="1">
        <v>250</v>
      </c>
      <c r="M39" s="1">
        <f t="shared" si="4"/>
        <v>125</v>
      </c>
      <c r="N39" s="1">
        <v>240</v>
      </c>
      <c r="O39" s="1">
        <f t="shared" si="5"/>
        <v>120</v>
      </c>
      <c r="P39" s="1">
        <v>3</v>
      </c>
      <c r="Q39">
        <f t="shared" si="6"/>
        <v>4.5710173109731486E-4</v>
      </c>
      <c r="U39" s="1" t="s">
        <v>39</v>
      </c>
      <c r="V39" s="4">
        <v>250</v>
      </c>
      <c r="W39" s="4">
        <f t="shared" si="7"/>
        <v>125</v>
      </c>
      <c r="X39" s="4">
        <v>240</v>
      </c>
      <c r="Y39" s="4">
        <f t="shared" si="8"/>
        <v>120</v>
      </c>
      <c r="Z39" s="3">
        <v>50</v>
      </c>
      <c r="AA39">
        <f t="shared" si="9"/>
        <v>2.3561944901923445E-4</v>
      </c>
      <c r="AD39" s="1" t="s">
        <v>135</v>
      </c>
      <c r="AE39" s="4">
        <v>395</v>
      </c>
      <c r="AF39" s="4">
        <f t="shared" si="10"/>
        <v>197.5</v>
      </c>
      <c r="AG39" s="4">
        <v>410</v>
      </c>
      <c r="AH39" s="4">
        <f t="shared" si="11"/>
        <v>205</v>
      </c>
      <c r="AI39" s="1">
        <v>10</v>
      </c>
      <c r="AJ39">
        <f t="shared" si="12"/>
        <v>1.144757093059951E-3</v>
      </c>
    </row>
    <row r="40" spans="1:36" x14ac:dyDescent="0.25">
      <c r="A40" s="1" t="s">
        <v>39</v>
      </c>
      <c r="B40" s="1">
        <v>370</v>
      </c>
      <c r="C40" s="1">
        <f t="shared" si="0"/>
        <v>185</v>
      </c>
      <c r="D40" s="1">
        <v>400</v>
      </c>
      <c r="E40" s="1">
        <f t="shared" si="1"/>
        <v>200</v>
      </c>
      <c r="F40" s="1">
        <v>10</v>
      </c>
      <c r="G40">
        <f t="shared" si="2"/>
        <v>1.046150353645401E-3</v>
      </c>
      <c r="H40">
        <v>115.844708</v>
      </c>
      <c r="I40">
        <f t="shared" si="3"/>
        <v>11.073428173716056</v>
      </c>
      <c r="K40" s="1" t="s">
        <v>84</v>
      </c>
      <c r="L40" s="1">
        <v>190</v>
      </c>
      <c r="M40" s="1">
        <f t="shared" si="4"/>
        <v>95</v>
      </c>
      <c r="N40" s="1">
        <v>240</v>
      </c>
      <c r="O40" s="1">
        <f t="shared" si="5"/>
        <v>120</v>
      </c>
      <c r="P40" s="3">
        <v>25</v>
      </c>
      <c r="Q40">
        <f t="shared" si="6"/>
        <v>2.6860617188192732E-4</v>
      </c>
      <c r="U40" s="1" t="s">
        <v>83</v>
      </c>
      <c r="V40" s="4">
        <v>190</v>
      </c>
      <c r="W40" s="4">
        <f t="shared" si="7"/>
        <v>95</v>
      </c>
      <c r="X40" s="4">
        <v>240</v>
      </c>
      <c r="Y40" s="4">
        <f t="shared" si="8"/>
        <v>120</v>
      </c>
      <c r="Z40" s="3">
        <v>55</v>
      </c>
      <c r="AA40">
        <f t="shared" si="9"/>
        <v>1.6116370312915635E-4</v>
      </c>
      <c r="AD40" s="1" t="s">
        <v>136</v>
      </c>
      <c r="AE40" s="4">
        <v>370</v>
      </c>
      <c r="AF40" s="4">
        <f t="shared" si="10"/>
        <v>185</v>
      </c>
      <c r="AG40" s="4">
        <v>400</v>
      </c>
      <c r="AH40" s="4">
        <f t="shared" si="11"/>
        <v>200</v>
      </c>
      <c r="AI40" s="3">
        <v>50</v>
      </c>
      <c r="AJ40">
        <f t="shared" si="12"/>
        <v>5.8119464091411165E-4</v>
      </c>
    </row>
    <row r="41" spans="1:36" x14ac:dyDescent="0.25">
      <c r="A41" s="1" t="s">
        <v>40</v>
      </c>
      <c r="B41" s="1">
        <v>400</v>
      </c>
      <c r="C41" s="1">
        <f t="shared" si="0"/>
        <v>200</v>
      </c>
      <c r="D41" s="1">
        <v>410</v>
      </c>
      <c r="E41" s="1">
        <f t="shared" si="1"/>
        <v>205</v>
      </c>
      <c r="F41" s="1">
        <v>4</v>
      </c>
      <c r="G41">
        <f t="shared" si="2"/>
        <v>1.2365308684529426E-3</v>
      </c>
      <c r="K41" s="1" t="s">
        <v>85</v>
      </c>
      <c r="L41" s="1">
        <v>260</v>
      </c>
      <c r="M41" s="1">
        <f t="shared" si="4"/>
        <v>130</v>
      </c>
      <c r="N41" s="1">
        <v>250</v>
      </c>
      <c r="O41" s="1">
        <f t="shared" si="5"/>
        <v>125</v>
      </c>
      <c r="P41" s="1">
        <v>5</v>
      </c>
      <c r="Q41">
        <f t="shared" si="6"/>
        <v>4.8498336589792424E-4</v>
      </c>
      <c r="U41" s="1" t="s">
        <v>84</v>
      </c>
      <c r="V41" s="4">
        <v>260</v>
      </c>
      <c r="W41" s="4">
        <f t="shared" si="7"/>
        <v>130</v>
      </c>
      <c r="X41" s="4">
        <v>250</v>
      </c>
      <c r="Y41" s="4">
        <f t="shared" si="8"/>
        <v>125</v>
      </c>
      <c r="Z41" s="3">
        <v>60</v>
      </c>
      <c r="AA41">
        <f t="shared" si="9"/>
        <v>2.0420352248333657E-4</v>
      </c>
      <c r="AD41" s="1" t="s">
        <v>137</v>
      </c>
      <c r="AE41" s="4">
        <v>400</v>
      </c>
      <c r="AF41" s="4">
        <f t="shared" si="10"/>
        <v>200</v>
      </c>
      <c r="AG41" s="4">
        <v>410</v>
      </c>
      <c r="AH41" s="4">
        <f t="shared" si="11"/>
        <v>205</v>
      </c>
      <c r="AI41" s="1">
        <v>14</v>
      </c>
      <c r="AJ41">
        <f t="shared" si="12"/>
        <v>1.1077255696557611E-3</v>
      </c>
    </row>
    <row r="42" spans="1:36" x14ac:dyDescent="0.25">
      <c r="A42" s="1" t="s">
        <v>41</v>
      </c>
      <c r="B42" s="1">
        <v>430</v>
      </c>
      <c r="C42" s="1">
        <f t="shared" si="0"/>
        <v>215</v>
      </c>
      <c r="D42" s="1">
        <v>420</v>
      </c>
      <c r="E42" s="1">
        <f t="shared" si="1"/>
        <v>210</v>
      </c>
      <c r="F42" s="1">
        <v>15</v>
      </c>
      <c r="G42">
        <f t="shared" si="2"/>
        <v>1.2056647206314228E-3</v>
      </c>
      <c r="H42">
        <v>138.85756799999999</v>
      </c>
      <c r="I42">
        <f t="shared" si="3"/>
        <v>11.517096388727243</v>
      </c>
      <c r="K42" s="1" t="s">
        <v>41</v>
      </c>
      <c r="L42" s="1">
        <v>160</v>
      </c>
      <c r="M42" s="1">
        <f t="shared" si="4"/>
        <v>80</v>
      </c>
      <c r="N42" s="1">
        <v>270</v>
      </c>
      <c r="O42" s="1">
        <f t="shared" si="5"/>
        <v>135</v>
      </c>
      <c r="P42" s="3">
        <v>45</v>
      </c>
      <c r="Q42">
        <f t="shared" si="6"/>
        <v>1.8661060362323373E-4</v>
      </c>
      <c r="U42" s="1" t="s">
        <v>85</v>
      </c>
      <c r="V42" s="4">
        <v>160</v>
      </c>
      <c r="W42" s="4">
        <f t="shared" si="7"/>
        <v>80</v>
      </c>
      <c r="X42" s="4">
        <v>270</v>
      </c>
      <c r="Y42" s="4">
        <f t="shared" si="8"/>
        <v>135</v>
      </c>
      <c r="Z42" s="3">
        <v>45</v>
      </c>
      <c r="AA42">
        <f t="shared" si="9"/>
        <v>1.8661060362323373E-4</v>
      </c>
      <c r="AD42" s="1" t="s">
        <v>45</v>
      </c>
      <c r="AE42" s="4">
        <v>430</v>
      </c>
      <c r="AF42" s="4">
        <f t="shared" si="10"/>
        <v>215</v>
      </c>
      <c r="AG42" s="4">
        <v>420</v>
      </c>
      <c r="AH42" s="4">
        <f t="shared" si="11"/>
        <v>210</v>
      </c>
      <c r="AI42" s="1">
        <v>10</v>
      </c>
      <c r="AJ42">
        <f t="shared" si="12"/>
        <v>1.2765861747862125E-3</v>
      </c>
    </row>
    <row r="43" spans="1:36" x14ac:dyDescent="0.25">
      <c r="A43" s="1" t="s">
        <v>43</v>
      </c>
      <c r="B43" s="1">
        <v>320</v>
      </c>
      <c r="C43" s="1">
        <f t="shared" si="0"/>
        <v>160</v>
      </c>
      <c r="D43" s="1">
        <v>390</v>
      </c>
      <c r="E43" s="1">
        <f t="shared" si="1"/>
        <v>195</v>
      </c>
      <c r="F43" s="1">
        <v>3</v>
      </c>
      <c r="G43">
        <f t="shared" si="2"/>
        <v>9.5077160068241504E-4</v>
      </c>
      <c r="H43">
        <v>26.136671</v>
      </c>
      <c r="I43">
        <f t="shared" si="3"/>
        <v>2.7489957610471789</v>
      </c>
      <c r="K43" s="1" t="s">
        <v>44</v>
      </c>
      <c r="L43" s="1">
        <v>250</v>
      </c>
      <c r="M43" s="1">
        <f t="shared" si="4"/>
        <v>125</v>
      </c>
      <c r="N43" s="1">
        <v>250</v>
      </c>
      <c r="O43" s="1">
        <f t="shared" si="5"/>
        <v>125</v>
      </c>
      <c r="P43" s="1">
        <v>8</v>
      </c>
      <c r="Q43">
        <f t="shared" si="6"/>
        <v>4.5160394395353282E-4</v>
      </c>
      <c r="U43" s="1" t="s">
        <v>41</v>
      </c>
      <c r="V43" s="4">
        <v>250</v>
      </c>
      <c r="W43" s="4">
        <f t="shared" si="7"/>
        <v>125</v>
      </c>
      <c r="X43" s="4">
        <v>250</v>
      </c>
      <c r="Y43" s="4">
        <f t="shared" si="8"/>
        <v>125</v>
      </c>
      <c r="Z43" s="3">
        <v>90</v>
      </c>
      <c r="AA43">
        <f t="shared" si="9"/>
        <v>4.9087385212340507E-5</v>
      </c>
      <c r="AD43" s="1" t="s">
        <v>46</v>
      </c>
      <c r="AE43" s="4">
        <v>320</v>
      </c>
      <c r="AF43" s="4">
        <f t="shared" si="10"/>
        <v>160</v>
      </c>
      <c r="AG43" s="4">
        <v>390</v>
      </c>
      <c r="AH43" s="4">
        <f t="shared" si="11"/>
        <v>195</v>
      </c>
      <c r="AI43" s="3">
        <v>65</v>
      </c>
      <c r="AJ43">
        <f t="shared" si="12"/>
        <v>3.4306191777200539E-4</v>
      </c>
    </row>
    <row r="44" spans="1:36" x14ac:dyDescent="0.25">
      <c r="A44" s="1" t="s">
        <v>42</v>
      </c>
      <c r="B44" s="4">
        <v>320</v>
      </c>
      <c r="C44" s="1">
        <f t="shared" si="0"/>
        <v>160</v>
      </c>
      <c r="D44" s="4">
        <v>390</v>
      </c>
      <c r="E44" s="1">
        <f t="shared" si="1"/>
        <v>195</v>
      </c>
      <c r="F44" s="1">
        <v>3</v>
      </c>
      <c r="G44">
        <f t="shared" si="2"/>
        <v>9.5077160068241504E-4</v>
      </c>
      <c r="H44">
        <v>117.22201099999999</v>
      </c>
      <c r="I44">
        <f t="shared" si="3"/>
        <v>12.329145182277642</v>
      </c>
      <c r="K44" s="1" t="s">
        <v>86</v>
      </c>
      <c r="L44" s="1">
        <v>260</v>
      </c>
      <c r="M44" s="1">
        <f t="shared" si="4"/>
        <v>130</v>
      </c>
      <c r="N44" s="1">
        <v>240</v>
      </c>
      <c r="O44" s="1">
        <f t="shared" si="5"/>
        <v>120</v>
      </c>
      <c r="P44" s="3">
        <v>40</v>
      </c>
      <c r="Q44">
        <f t="shared" si="6"/>
        <v>2.9405307237600462E-4</v>
      </c>
      <c r="U44" s="1" t="s">
        <v>44</v>
      </c>
      <c r="V44" s="4">
        <v>260</v>
      </c>
      <c r="W44" s="4">
        <f t="shared" si="7"/>
        <v>130</v>
      </c>
      <c r="X44" s="4">
        <v>240</v>
      </c>
      <c r="Y44" s="4">
        <f t="shared" si="8"/>
        <v>120</v>
      </c>
      <c r="Z44" s="3">
        <v>80</v>
      </c>
      <c r="AA44">
        <f t="shared" si="9"/>
        <v>9.8017690792001516E-5</v>
      </c>
      <c r="AD44" s="1" t="s">
        <v>119</v>
      </c>
      <c r="AE44" s="4">
        <v>320</v>
      </c>
      <c r="AF44" s="4">
        <f t="shared" si="10"/>
        <v>160</v>
      </c>
      <c r="AG44" s="4">
        <v>390</v>
      </c>
      <c r="AH44" s="4">
        <f t="shared" si="11"/>
        <v>195</v>
      </c>
      <c r="AI44" s="1">
        <v>0</v>
      </c>
      <c r="AJ44">
        <f t="shared" si="12"/>
        <v>9.8017690792001557E-4</v>
      </c>
    </row>
    <row r="45" spans="1:36" x14ac:dyDescent="0.25">
      <c r="A45" s="1" t="s">
        <v>44</v>
      </c>
      <c r="B45" s="1">
        <v>320</v>
      </c>
      <c r="C45" s="1">
        <f t="shared" si="0"/>
        <v>160</v>
      </c>
      <c r="D45" s="1">
        <v>380</v>
      </c>
      <c r="E45" s="1">
        <f t="shared" si="1"/>
        <v>190</v>
      </c>
      <c r="F45" s="1">
        <v>2</v>
      </c>
      <c r="G45">
        <f t="shared" si="2"/>
        <v>9.3594328335747123E-4</v>
      </c>
      <c r="H45">
        <v>54.731164999999997</v>
      </c>
      <c r="I45">
        <f t="shared" si="3"/>
        <v>5.847701027744451</v>
      </c>
      <c r="K45" s="1" t="s">
        <v>87</v>
      </c>
      <c r="L45" s="1">
        <v>260</v>
      </c>
      <c r="M45" s="1">
        <f t="shared" si="4"/>
        <v>130</v>
      </c>
      <c r="N45" s="1">
        <v>260</v>
      </c>
      <c r="O45" s="1">
        <f t="shared" si="5"/>
        <v>130</v>
      </c>
      <c r="P45" s="1">
        <v>10</v>
      </c>
      <c r="Q45">
        <f t="shared" si="6"/>
        <v>4.7783624261100749E-4</v>
      </c>
      <c r="U45" s="1" t="s">
        <v>117</v>
      </c>
      <c r="V45" s="4">
        <v>260</v>
      </c>
      <c r="W45" s="4">
        <f t="shared" si="7"/>
        <v>130</v>
      </c>
      <c r="X45" s="4">
        <v>260</v>
      </c>
      <c r="Y45" s="4">
        <f t="shared" si="8"/>
        <v>130</v>
      </c>
      <c r="Z45" s="3">
        <v>40</v>
      </c>
      <c r="AA45">
        <f t="shared" si="9"/>
        <v>3.1855749507400498E-4</v>
      </c>
      <c r="AD45" s="1" t="s">
        <v>90</v>
      </c>
      <c r="AE45" s="4">
        <v>320</v>
      </c>
      <c r="AF45" s="4">
        <f t="shared" si="10"/>
        <v>160</v>
      </c>
      <c r="AG45" s="4">
        <v>380</v>
      </c>
      <c r="AH45" s="4">
        <f t="shared" si="11"/>
        <v>190</v>
      </c>
      <c r="AI45" s="3">
        <v>40</v>
      </c>
      <c r="AJ45">
        <f t="shared" si="12"/>
        <v>5.7302650001477831E-4</v>
      </c>
    </row>
    <row r="46" spans="1:36" x14ac:dyDescent="0.25">
      <c r="A46" s="1" t="s">
        <v>45</v>
      </c>
      <c r="B46" s="1">
        <v>370</v>
      </c>
      <c r="C46" s="1">
        <f t="shared" si="0"/>
        <v>185</v>
      </c>
      <c r="D46" s="1">
        <v>390</v>
      </c>
      <c r="E46" s="1">
        <f t="shared" si="1"/>
        <v>195</v>
      </c>
      <c r="F46" s="1">
        <v>6</v>
      </c>
      <c r="G46">
        <f t="shared" si="2"/>
        <v>1.0653297767955667E-3</v>
      </c>
      <c r="H46">
        <v>112.85416499999999</v>
      </c>
      <c r="I46">
        <f t="shared" si="3"/>
        <v>10.593354983417154</v>
      </c>
      <c r="K46" s="1" t="s">
        <v>88</v>
      </c>
      <c r="L46" s="1">
        <v>220</v>
      </c>
      <c r="M46" s="1">
        <f t="shared" si="4"/>
        <v>110</v>
      </c>
      <c r="N46" s="1">
        <v>244</v>
      </c>
      <c r="O46" s="1">
        <f t="shared" si="5"/>
        <v>122</v>
      </c>
      <c r="P46" s="3">
        <v>45</v>
      </c>
      <c r="Q46">
        <f t="shared" si="6"/>
        <v>2.3188095376146267E-4</v>
      </c>
      <c r="U46" s="1" t="s">
        <v>87</v>
      </c>
      <c r="V46" s="4">
        <v>220</v>
      </c>
      <c r="W46" s="4">
        <f t="shared" si="7"/>
        <v>110</v>
      </c>
      <c r="X46" s="4">
        <v>244</v>
      </c>
      <c r="Y46" s="4">
        <f t="shared" si="8"/>
        <v>122</v>
      </c>
      <c r="Z46" s="3">
        <v>60</v>
      </c>
      <c r="AA46">
        <f t="shared" si="9"/>
        <v>1.6864069364470012E-4</v>
      </c>
      <c r="AD46" s="1" t="s">
        <v>138</v>
      </c>
      <c r="AE46" s="4">
        <v>370</v>
      </c>
      <c r="AF46" s="4">
        <f t="shared" si="10"/>
        <v>185</v>
      </c>
      <c r="AG46" s="4">
        <v>390</v>
      </c>
      <c r="AH46" s="4">
        <f t="shared" si="11"/>
        <v>195</v>
      </c>
      <c r="AI46" s="3">
        <v>90</v>
      </c>
      <c r="AJ46">
        <f t="shared" si="12"/>
        <v>1.1333295497825177E-4</v>
      </c>
    </row>
    <row r="47" spans="1:36" x14ac:dyDescent="0.25">
      <c r="A47" s="1" t="s">
        <v>46</v>
      </c>
      <c r="B47" s="4">
        <v>356</v>
      </c>
      <c r="C47" s="1">
        <f t="shared" si="0"/>
        <v>178</v>
      </c>
      <c r="D47" s="4">
        <v>386</v>
      </c>
      <c r="E47" s="1">
        <f t="shared" si="1"/>
        <v>193</v>
      </c>
      <c r="F47" s="1">
        <v>15</v>
      </c>
      <c r="G47">
        <f t="shared" si="2"/>
        <v>9.1737332918210191E-4</v>
      </c>
      <c r="H47">
        <v>106.65932599999999</v>
      </c>
      <c r="I47">
        <f t="shared" si="3"/>
        <v>11.626599837504948</v>
      </c>
      <c r="K47" s="1" t="s">
        <v>89</v>
      </c>
      <c r="L47" s="4">
        <v>248</v>
      </c>
      <c r="M47" s="1">
        <f t="shared" si="4"/>
        <v>124</v>
      </c>
      <c r="N47" s="4">
        <v>248</v>
      </c>
      <c r="O47" s="1">
        <f t="shared" si="5"/>
        <v>124</v>
      </c>
      <c r="P47" s="1">
        <v>3</v>
      </c>
      <c r="Q47">
        <f t="shared" si="6"/>
        <v>4.6855974782348755E-4</v>
      </c>
      <c r="U47" s="1" t="s">
        <v>89</v>
      </c>
      <c r="V47" s="4">
        <v>248</v>
      </c>
      <c r="W47" s="4">
        <f t="shared" si="7"/>
        <v>124</v>
      </c>
      <c r="X47" s="4">
        <v>248</v>
      </c>
      <c r="Y47" s="4">
        <f t="shared" si="8"/>
        <v>124</v>
      </c>
      <c r="Z47" s="3">
        <v>80</v>
      </c>
      <c r="AA47">
        <f t="shared" si="9"/>
        <v>9.6610257283193297E-5</v>
      </c>
      <c r="AD47" s="1" t="s">
        <v>49</v>
      </c>
      <c r="AE47" s="4">
        <v>356</v>
      </c>
      <c r="AF47" s="4">
        <f t="shared" si="10"/>
        <v>178</v>
      </c>
      <c r="AG47" s="4">
        <v>386</v>
      </c>
      <c r="AH47" s="4">
        <f t="shared" si="11"/>
        <v>193</v>
      </c>
      <c r="AI47" s="3">
        <v>85</v>
      </c>
      <c r="AJ47">
        <f t="shared" si="12"/>
        <v>1.6188941103213568E-4</v>
      </c>
    </row>
    <row r="48" spans="1:36" x14ac:dyDescent="0.25">
      <c r="A48" s="1" t="s">
        <v>47</v>
      </c>
      <c r="B48" s="1">
        <v>380</v>
      </c>
      <c r="C48" s="1">
        <f t="shared" si="0"/>
        <v>190</v>
      </c>
      <c r="D48" s="1">
        <v>390</v>
      </c>
      <c r="E48" s="1">
        <f t="shared" si="1"/>
        <v>195</v>
      </c>
      <c r="F48" s="1">
        <v>3</v>
      </c>
      <c r="G48">
        <f t="shared" si="2"/>
        <v>1.1290412758103677E-3</v>
      </c>
      <c r="H48">
        <v>118.075011</v>
      </c>
      <c r="I48">
        <f t="shared" si="3"/>
        <v>10.457988873369739</v>
      </c>
      <c r="K48" s="1" t="s">
        <v>90</v>
      </c>
      <c r="L48" s="1">
        <v>259</v>
      </c>
      <c r="M48" s="1">
        <f t="shared" si="4"/>
        <v>129.5</v>
      </c>
      <c r="N48" s="1">
        <v>280</v>
      </c>
      <c r="O48" s="1">
        <f t="shared" si="5"/>
        <v>140</v>
      </c>
      <c r="P48" s="3">
        <v>65</v>
      </c>
      <c r="Q48">
        <f t="shared" si="6"/>
        <v>1.993497618335403E-4</v>
      </c>
      <c r="U48" s="1" t="s">
        <v>118</v>
      </c>
      <c r="V48" s="4">
        <v>259</v>
      </c>
      <c r="W48" s="4">
        <f t="shared" si="7"/>
        <v>129.5</v>
      </c>
      <c r="X48" s="4">
        <v>280</v>
      </c>
      <c r="Y48" s="4">
        <f t="shared" si="8"/>
        <v>140</v>
      </c>
      <c r="Z48" s="3">
        <v>50</v>
      </c>
      <c r="AA48">
        <f t="shared" si="9"/>
        <v>2.8478537404791473E-4</v>
      </c>
      <c r="AD48" s="1" t="s">
        <v>91</v>
      </c>
      <c r="AE48" s="4">
        <v>380</v>
      </c>
      <c r="AF48" s="4">
        <f t="shared" si="10"/>
        <v>190</v>
      </c>
      <c r="AG48" s="4">
        <v>390</v>
      </c>
      <c r="AH48" s="4">
        <f t="shared" si="11"/>
        <v>195</v>
      </c>
      <c r="AI48" s="1">
        <v>9</v>
      </c>
      <c r="AJ48">
        <f t="shared" si="12"/>
        <v>1.0592036711210668E-3</v>
      </c>
    </row>
    <row r="49" spans="1:36" x14ac:dyDescent="0.25">
      <c r="A49" s="1" t="s">
        <v>48</v>
      </c>
      <c r="B49" s="4">
        <v>356</v>
      </c>
      <c r="C49" s="1">
        <f t="shared" si="0"/>
        <v>178</v>
      </c>
      <c r="D49" s="4">
        <v>386</v>
      </c>
      <c r="E49" s="1">
        <f t="shared" si="1"/>
        <v>193</v>
      </c>
      <c r="F49" s="1">
        <v>2</v>
      </c>
      <c r="G49">
        <f t="shared" si="2"/>
        <v>1.0576774854099528E-3</v>
      </c>
      <c r="H49">
        <v>121.811677</v>
      </c>
      <c r="I49">
        <f t="shared" si="3"/>
        <v>11.516901766400572</v>
      </c>
      <c r="K49" s="1" t="s">
        <v>91</v>
      </c>
      <c r="L49" s="1">
        <v>260</v>
      </c>
      <c r="M49" s="1">
        <f t="shared" si="4"/>
        <v>130</v>
      </c>
      <c r="N49" s="1">
        <v>260</v>
      </c>
      <c r="O49" s="1">
        <f t="shared" si="5"/>
        <v>130</v>
      </c>
      <c r="P49" s="3">
        <v>10</v>
      </c>
      <c r="Q49">
        <f t="shared" si="6"/>
        <v>4.7783624261100749E-4</v>
      </c>
      <c r="U49" s="1" t="s">
        <v>119</v>
      </c>
      <c r="V49" s="4">
        <v>260</v>
      </c>
      <c r="W49" s="4">
        <f t="shared" si="7"/>
        <v>130</v>
      </c>
      <c r="X49" s="4">
        <v>260</v>
      </c>
      <c r="Y49" s="4">
        <f t="shared" si="8"/>
        <v>130</v>
      </c>
      <c r="Z49" s="3">
        <v>30</v>
      </c>
      <c r="AA49">
        <f t="shared" si="9"/>
        <v>3.7165041091967248E-4</v>
      </c>
      <c r="AD49" s="1" t="s">
        <v>51</v>
      </c>
      <c r="AE49" s="4">
        <v>356</v>
      </c>
      <c r="AF49" s="4">
        <f t="shared" si="10"/>
        <v>178</v>
      </c>
      <c r="AG49" s="4">
        <v>386</v>
      </c>
      <c r="AH49" s="4">
        <f t="shared" si="11"/>
        <v>193</v>
      </c>
      <c r="AI49" s="3">
        <v>40</v>
      </c>
      <c r="AJ49">
        <f t="shared" si="12"/>
        <v>6.4755764412854249E-4</v>
      </c>
    </row>
    <row r="50" spans="1:36" x14ac:dyDescent="0.25">
      <c r="A50" s="1" t="s">
        <v>49</v>
      </c>
      <c r="B50" s="1">
        <v>360</v>
      </c>
      <c r="C50" s="1">
        <f t="shared" si="0"/>
        <v>180</v>
      </c>
      <c r="D50" s="1">
        <v>380</v>
      </c>
      <c r="E50" s="1">
        <f t="shared" si="1"/>
        <v>190</v>
      </c>
      <c r="F50" s="1">
        <v>6</v>
      </c>
      <c r="G50">
        <f t="shared" si="2"/>
        <v>1.0099592062760468E-3</v>
      </c>
      <c r="H50">
        <v>114.44925600000001</v>
      </c>
      <c r="I50">
        <f t="shared" si="3"/>
        <v>11.332067205169691</v>
      </c>
      <c r="K50" s="1" t="s">
        <v>92</v>
      </c>
      <c r="L50" s="1">
        <v>263</v>
      </c>
      <c r="M50" s="1">
        <f t="shared" si="4"/>
        <v>131.5</v>
      </c>
      <c r="N50" s="1">
        <v>260</v>
      </c>
      <c r="O50" s="1">
        <f t="shared" si="5"/>
        <v>130</v>
      </c>
      <c r="P50" s="3">
        <v>20</v>
      </c>
      <c r="Q50">
        <f t="shared" si="6"/>
        <v>4.2964421130494009E-4</v>
      </c>
      <c r="U50" s="1" t="s">
        <v>90</v>
      </c>
      <c r="V50" s="4">
        <v>263</v>
      </c>
      <c r="W50" s="4">
        <f t="shared" si="7"/>
        <v>131.5</v>
      </c>
      <c r="X50" s="4">
        <v>260</v>
      </c>
      <c r="Y50" s="4">
        <f t="shared" si="8"/>
        <v>130</v>
      </c>
      <c r="Z50" s="1">
        <v>5</v>
      </c>
      <c r="AA50">
        <f t="shared" si="9"/>
        <v>5.1020250092461631E-4</v>
      </c>
      <c r="AD50" s="1" t="s">
        <v>53</v>
      </c>
      <c r="AE50" s="4">
        <v>360</v>
      </c>
      <c r="AF50" s="4">
        <f t="shared" si="10"/>
        <v>180</v>
      </c>
      <c r="AG50" s="4">
        <v>380</v>
      </c>
      <c r="AH50" s="4">
        <f t="shared" si="11"/>
        <v>190</v>
      </c>
      <c r="AI50" s="3">
        <v>70</v>
      </c>
      <c r="AJ50">
        <f t="shared" si="12"/>
        <v>3.2232740625831282E-4</v>
      </c>
    </row>
    <row r="51" spans="1:36" x14ac:dyDescent="0.25">
      <c r="A51" s="1" t="s">
        <v>50</v>
      </c>
      <c r="B51" s="1">
        <v>370</v>
      </c>
      <c r="C51" s="1">
        <f t="shared" si="0"/>
        <v>185</v>
      </c>
      <c r="D51" s="1">
        <v>380</v>
      </c>
      <c r="E51" s="1">
        <f t="shared" si="1"/>
        <v>190</v>
      </c>
      <c r="F51" s="1">
        <v>3</v>
      </c>
      <c r="G51">
        <f t="shared" si="2"/>
        <v>1.0711417232047078E-3</v>
      </c>
      <c r="H51">
        <v>125.17124800000001</v>
      </c>
      <c r="I51">
        <f t="shared" si="3"/>
        <v>11.685778388456848</v>
      </c>
      <c r="K51" s="1" t="s">
        <v>51</v>
      </c>
      <c r="L51" s="4">
        <v>280</v>
      </c>
      <c r="M51" s="1">
        <f t="shared" si="4"/>
        <v>140</v>
      </c>
      <c r="N51" s="4">
        <v>270</v>
      </c>
      <c r="O51" s="1">
        <f t="shared" si="5"/>
        <v>135</v>
      </c>
      <c r="P51" s="1">
        <v>6</v>
      </c>
      <c r="Q51">
        <f t="shared" si="6"/>
        <v>5.581353508367626E-4</v>
      </c>
      <c r="U51" s="1" t="s">
        <v>120</v>
      </c>
      <c r="V51" s="4">
        <v>280</v>
      </c>
      <c r="W51" s="4">
        <f t="shared" si="7"/>
        <v>140</v>
      </c>
      <c r="X51" s="4">
        <v>270</v>
      </c>
      <c r="Y51" s="4">
        <f t="shared" si="8"/>
        <v>135</v>
      </c>
      <c r="Z51" s="3">
        <v>70</v>
      </c>
      <c r="AA51">
        <f t="shared" si="9"/>
        <v>1.7812830345854128E-4</v>
      </c>
      <c r="AD51" s="1" t="s">
        <v>54</v>
      </c>
      <c r="AE51" s="4">
        <v>370</v>
      </c>
      <c r="AF51" s="4">
        <f t="shared" si="10"/>
        <v>185</v>
      </c>
      <c r="AG51" s="4">
        <v>380</v>
      </c>
      <c r="AH51" s="4">
        <f t="shared" si="11"/>
        <v>190</v>
      </c>
      <c r="AI51" s="3">
        <v>90</v>
      </c>
      <c r="AJ51">
        <f t="shared" si="12"/>
        <v>1.1042698177368119E-4</v>
      </c>
    </row>
    <row r="52" spans="1:36" x14ac:dyDescent="0.25">
      <c r="A52" s="1" t="s">
        <v>51</v>
      </c>
      <c r="B52" s="1">
        <v>290</v>
      </c>
      <c r="C52" s="1">
        <f t="shared" si="0"/>
        <v>145</v>
      </c>
      <c r="D52" s="1">
        <v>360</v>
      </c>
      <c r="E52" s="1">
        <f t="shared" si="1"/>
        <v>180</v>
      </c>
      <c r="F52" s="1">
        <v>1</v>
      </c>
      <c r="G52">
        <f t="shared" si="2"/>
        <v>8.1175612576106667E-4</v>
      </c>
      <c r="H52">
        <v>59.403509</v>
      </c>
      <c r="I52">
        <f t="shared" si="3"/>
        <v>7.3179009205881753</v>
      </c>
      <c r="K52" s="1" t="s">
        <v>52</v>
      </c>
      <c r="L52" s="4">
        <v>280</v>
      </c>
      <c r="M52" s="1">
        <f t="shared" si="4"/>
        <v>140</v>
      </c>
      <c r="N52" s="4">
        <v>270</v>
      </c>
      <c r="O52" s="1">
        <f t="shared" si="5"/>
        <v>135</v>
      </c>
      <c r="P52" s="1">
        <v>2</v>
      </c>
      <c r="Q52">
        <f t="shared" si="6"/>
        <v>5.8188579129790142E-4</v>
      </c>
      <c r="U52" s="1" t="s">
        <v>51</v>
      </c>
      <c r="V52" s="4">
        <v>280</v>
      </c>
      <c r="W52" s="4">
        <f t="shared" si="7"/>
        <v>140</v>
      </c>
      <c r="X52" s="4">
        <v>270</v>
      </c>
      <c r="Y52" s="4">
        <f t="shared" si="8"/>
        <v>135</v>
      </c>
      <c r="Z52" s="3">
        <v>65</v>
      </c>
      <c r="AA52">
        <f t="shared" si="9"/>
        <v>2.078163540349648E-4</v>
      </c>
      <c r="AD52" s="1" t="s">
        <v>122</v>
      </c>
      <c r="AE52" s="4">
        <v>290</v>
      </c>
      <c r="AF52" s="4">
        <f t="shared" si="10"/>
        <v>145</v>
      </c>
      <c r="AG52" s="4">
        <v>360</v>
      </c>
      <c r="AH52" s="4">
        <f t="shared" si="11"/>
        <v>180</v>
      </c>
      <c r="AI52" s="3">
        <v>90</v>
      </c>
      <c r="AJ52">
        <f t="shared" si="12"/>
        <v>8.199556825869359E-5</v>
      </c>
    </row>
    <row r="53" spans="1:36" x14ac:dyDescent="0.25">
      <c r="A53" s="1" t="s">
        <v>52</v>
      </c>
      <c r="B53" s="1">
        <v>330</v>
      </c>
      <c r="C53" s="1">
        <f t="shared" si="0"/>
        <v>165</v>
      </c>
      <c r="D53" s="1">
        <v>360</v>
      </c>
      <c r="E53" s="1">
        <f t="shared" si="1"/>
        <v>180</v>
      </c>
      <c r="F53" s="1">
        <v>4</v>
      </c>
      <c r="G53">
        <f t="shared" si="2"/>
        <v>8.9573089739152162E-4</v>
      </c>
      <c r="H53">
        <v>114.465388</v>
      </c>
      <c r="I53">
        <f t="shared" si="3"/>
        <v>12.778992924475116</v>
      </c>
      <c r="K53" s="1" t="s">
        <v>53</v>
      </c>
      <c r="L53" s="4">
        <v>280</v>
      </c>
      <c r="M53" s="1">
        <f t="shared" si="4"/>
        <v>140</v>
      </c>
      <c r="N53" s="4">
        <v>270</v>
      </c>
      <c r="O53" s="1">
        <f t="shared" si="5"/>
        <v>135</v>
      </c>
      <c r="P53" s="1">
        <v>3</v>
      </c>
      <c r="Q53">
        <f t="shared" si="6"/>
        <v>5.7594818118261672E-4</v>
      </c>
      <c r="U53" s="1" t="s">
        <v>52</v>
      </c>
      <c r="V53" s="4">
        <v>280</v>
      </c>
      <c r="W53" s="4">
        <f t="shared" si="7"/>
        <v>140</v>
      </c>
      <c r="X53" s="4">
        <v>270</v>
      </c>
      <c r="Y53" s="4">
        <f t="shared" si="8"/>
        <v>135</v>
      </c>
      <c r="Z53" s="3">
        <v>70</v>
      </c>
      <c r="AA53">
        <f t="shared" si="9"/>
        <v>1.7812830345854128E-4</v>
      </c>
      <c r="AD53" s="1" t="s">
        <v>139</v>
      </c>
      <c r="AE53" s="4">
        <v>330</v>
      </c>
      <c r="AF53" s="4">
        <f t="shared" si="10"/>
        <v>165</v>
      </c>
      <c r="AG53" s="4">
        <v>360</v>
      </c>
      <c r="AH53" s="4">
        <f t="shared" si="11"/>
        <v>180</v>
      </c>
      <c r="AI53" s="3">
        <v>60</v>
      </c>
      <c r="AJ53">
        <f t="shared" si="12"/>
        <v>3.7322120724646741E-4</v>
      </c>
    </row>
    <row r="54" spans="1:36" x14ac:dyDescent="0.25">
      <c r="A54" s="1" t="s">
        <v>53</v>
      </c>
      <c r="B54" s="1">
        <v>350</v>
      </c>
      <c r="C54" s="1">
        <f t="shared" si="0"/>
        <v>175</v>
      </c>
      <c r="D54" s="1">
        <v>370</v>
      </c>
      <c r="E54" s="1">
        <f t="shared" si="1"/>
        <v>185</v>
      </c>
      <c r="F54" s="1">
        <v>10</v>
      </c>
      <c r="G54">
        <f t="shared" si="2"/>
        <v>9.1538155943972593E-4</v>
      </c>
      <c r="H54">
        <v>111.184462</v>
      </c>
      <c r="I54">
        <f t="shared" si="3"/>
        <v>12.146242280437924</v>
      </c>
      <c r="K54" s="1" t="s">
        <v>93</v>
      </c>
      <c r="L54" s="4">
        <v>280</v>
      </c>
      <c r="M54" s="1">
        <f t="shared" si="4"/>
        <v>140</v>
      </c>
      <c r="N54" s="4">
        <v>270</v>
      </c>
      <c r="O54" s="1">
        <f t="shared" si="5"/>
        <v>135</v>
      </c>
      <c r="P54" s="1">
        <v>2</v>
      </c>
      <c r="Q54">
        <f t="shared" si="6"/>
        <v>5.8188579129790142E-4</v>
      </c>
      <c r="U54" s="1" t="s">
        <v>121</v>
      </c>
      <c r="V54" s="4">
        <v>280</v>
      </c>
      <c r="W54" s="4">
        <f t="shared" si="7"/>
        <v>140</v>
      </c>
      <c r="X54" s="4">
        <v>270</v>
      </c>
      <c r="Y54" s="4">
        <f t="shared" si="8"/>
        <v>135</v>
      </c>
      <c r="Z54" s="3">
        <v>75</v>
      </c>
      <c r="AA54">
        <f t="shared" si="9"/>
        <v>1.4844025288211771E-4</v>
      </c>
      <c r="AD54" s="1" t="s">
        <v>140</v>
      </c>
      <c r="AE54" s="4">
        <v>350</v>
      </c>
      <c r="AF54" s="4">
        <f t="shared" si="10"/>
        <v>175</v>
      </c>
      <c r="AG54" s="4">
        <v>370</v>
      </c>
      <c r="AH54" s="4">
        <f t="shared" si="11"/>
        <v>185</v>
      </c>
      <c r="AI54" s="3">
        <v>25</v>
      </c>
      <c r="AJ54">
        <f t="shared" si="12"/>
        <v>7.6281796619977161E-4</v>
      </c>
    </row>
    <row r="55" spans="1:36" x14ac:dyDescent="0.25">
      <c r="A55" s="1" t="s">
        <v>54</v>
      </c>
      <c r="B55" s="1">
        <v>320</v>
      </c>
      <c r="C55" s="1">
        <f t="shared" si="0"/>
        <v>160</v>
      </c>
      <c r="D55" s="1">
        <v>340</v>
      </c>
      <c r="E55" s="1">
        <f t="shared" si="1"/>
        <v>170</v>
      </c>
      <c r="F55" s="1">
        <v>15</v>
      </c>
      <c r="G55">
        <f t="shared" si="2"/>
        <v>7.2633622150996017E-4</v>
      </c>
      <c r="H55">
        <v>108.371376</v>
      </c>
      <c r="I55">
        <f t="shared" si="3"/>
        <v>14.920276972379233</v>
      </c>
      <c r="K55" s="1" t="s">
        <v>94</v>
      </c>
      <c r="L55" s="1">
        <v>280</v>
      </c>
      <c r="M55" s="1">
        <f t="shared" si="4"/>
        <v>140</v>
      </c>
      <c r="N55" s="1">
        <v>270</v>
      </c>
      <c r="O55" s="1">
        <f t="shared" si="5"/>
        <v>135</v>
      </c>
      <c r="P55" s="1">
        <v>5</v>
      </c>
      <c r="Q55">
        <f t="shared" si="6"/>
        <v>5.6407296095204731E-4</v>
      </c>
      <c r="U55" s="1" t="s">
        <v>54</v>
      </c>
      <c r="V55" s="4">
        <v>280</v>
      </c>
      <c r="W55" s="4">
        <f t="shared" si="7"/>
        <v>140</v>
      </c>
      <c r="X55" s="4">
        <v>270</v>
      </c>
      <c r="Y55" s="4">
        <f t="shared" si="8"/>
        <v>135</v>
      </c>
      <c r="Z55" s="3">
        <v>70</v>
      </c>
      <c r="AA55">
        <f t="shared" si="9"/>
        <v>1.7812830345854128E-4</v>
      </c>
      <c r="AD55" s="1" t="s">
        <v>123</v>
      </c>
      <c r="AE55" s="4">
        <v>320</v>
      </c>
      <c r="AF55" s="4">
        <f t="shared" si="10"/>
        <v>160</v>
      </c>
      <c r="AG55" s="4">
        <v>340</v>
      </c>
      <c r="AH55" s="4">
        <f t="shared" si="11"/>
        <v>170</v>
      </c>
      <c r="AI55" s="1">
        <v>18</v>
      </c>
      <c r="AJ55">
        <f t="shared" si="12"/>
        <v>7.0070082545666749E-4</v>
      </c>
    </row>
    <row r="56" spans="1:36" x14ac:dyDescent="0.25">
      <c r="A56" s="1" t="s">
        <v>55</v>
      </c>
      <c r="B56" s="1">
        <v>350</v>
      </c>
      <c r="C56" s="1">
        <f t="shared" si="0"/>
        <v>175</v>
      </c>
      <c r="D56" s="1">
        <v>380</v>
      </c>
      <c r="E56" s="1">
        <f t="shared" si="1"/>
        <v>190</v>
      </c>
      <c r="F56" s="1">
        <v>5</v>
      </c>
      <c r="G56">
        <f t="shared" si="2"/>
        <v>9.9235057945267565E-4</v>
      </c>
      <c r="H56">
        <v>118.04678</v>
      </c>
      <c r="I56">
        <f t="shared" si="3"/>
        <v>11.89567300551262</v>
      </c>
      <c r="K56" s="1" t="s">
        <v>95</v>
      </c>
      <c r="L56" s="4">
        <v>260</v>
      </c>
      <c r="M56" s="1">
        <f t="shared" si="4"/>
        <v>130</v>
      </c>
      <c r="N56" s="4">
        <v>260</v>
      </c>
      <c r="O56" s="1">
        <f t="shared" si="5"/>
        <v>130</v>
      </c>
      <c r="P56" s="1">
        <v>4</v>
      </c>
      <c r="Q56">
        <f t="shared" si="6"/>
        <v>5.0969199211840799E-4</v>
      </c>
      <c r="U56" s="1" t="s">
        <v>93</v>
      </c>
      <c r="V56" s="4">
        <v>260</v>
      </c>
      <c r="W56" s="4">
        <f t="shared" si="7"/>
        <v>130</v>
      </c>
      <c r="X56" s="4">
        <v>260</v>
      </c>
      <c r="Y56" s="4">
        <f t="shared" si="8"/>
        <v>130</v>
      </c>
      <c r="Z56" s="3">
        <v>55</v>
      </c>
      <c r="AA56">
        <f t="shared" si="9"/>
        <v>2.3891812130550375E-4</v>
      </c>
      <c r="AD56" s="1" t="s">
        <v>141</v>
      </c>
      <c r="AE56" s="4">
        <v>350</v>
      </c>
      <c r="AF56" s="4">
        <f t="shared" si="10"/>
        <v>175</v>
      </c>
      <c r="AG56" s="4">
        <v>380</v>
      </c>
      <c r="AH56" s="4">
        <f t="shared" si="11"/>
        <v>190</v>
      </c>
      <c r="AI56" s="3">
        <v>15</v>
      </c>
      <c r="AJ56">
        <f t="shared" si="12"/>
        <v>8.8789262372081517E-4</v>
      </c>
    </row>
    <row r="57" spans="1:36" x14ac:dyDescent="0.25">
      <c r="A57" s="1" t="s">
        <v>56</v>
      </c>
      <c r="B57" s="1">
        <v>360</v>
      </c>
      <c r="C57" s="1">
        <f t="shared" si="0"/>
        <v>180</v>
      </c>
      <c r="D57" s="1">
        <v>370</v>
      </c>
      <c r="E57" s="1">
        <f t="shared" si="1"/>
        <v>185</v>
      </c>
      <c r="F57" s="1">
        <v>2</v>
      </c>
      <c r="G57">
        <f t="shared" si="2"/>
        <v>1.025227346572493E-3</v>
      </c>
      <c r="H57">
        <v>127.89157299999999</v>
      </c>
      <c r="I57">
        <f t="shared" si="3"/>
        <v>12.474459779829612</v>
      </c>
      <c r="K57" s="1" t="s">
        <v>96</v>
      </c>
      <c r="L57" s="1">
        <v>260</v>
      </c>
      <c r="M57" s="1">
        <f t="shared" si="4"/>
        <v>130</v>
      </c>
      <c r="N57" s="1">
        <v>260</v>
      </c>
      <c r="O57" s="1">
        <f t="shared" si="5"/>
        <v>130</v>
      </c>
      <c r="P57" s="1">
        <v>10</v>
      </c>
      <c r="Q57">
        <f t="shared" si="6"/>
        <v>4.7783624261100749E-4</v>
      </c>
      <c r="U57" s="1" t="s">
        <v>122</v>
      </c>
      <c r="V57" s="4">
        <v>260</v>
      </c>
      <c r="W57" s="4">
        <f t="shared" si="7"/>
        <v>130</v>
      </c>
      <c r="X57" s="4">
        <v>260</v>
      </c>
      <c r="Y57" s="4">
        <f t="shared" si="8"/>
        <v>130</v>
      </c>
      <c r="Z57" s="3">
        <v>28</v>
      </c>
      <c r="AA57">
        <f t="shared" si="9"/>
        <v>3.8226899408880602E-4</v>
      </c>
      <c r="AD57" s="1" t="s">
        <v>58</v>
      </c>
      <c r="AE57" s="4">
        <v>360</v>
      </c>
      <c r="AF57" s="4">
        <f t="shared" si="10"/>
        <v>180</v>
      </c>
      <c r="AG57" s="4">
        <v>370</v>
      </c>
      <c r="AH57" s="4">
        <f t="shared" si="11"/>
        <v>185</v>
      </c>
      <c r="AI57" s="3">
        <v>30</v>
      </c>
      <c r="AJ57">
        <f t="shared" si="12"/>
        <v>7.3230524755178077E-4</v>
      </c>
    </row>
    <row r="58" spans="1:36" x14ac:dyDescent="0.25">
      <c r="A58" s="1" t="s">
        <v>57</v>
      </c>
      <c r="B58" s="1">
        <v>360</v>
      </c>
      <c r="C58" s="1">
        <f t="shared" si="0"/>
        <v>180</v>
      </c>
      <c r="D58" s="1">
        <v>370</v>
      </c>
      <c r="E58" s="1">
        <f t="shared" si="1"/>
        <v>185</v>
      </c>
      <c r="F58" s="1">
        <v>20</v>
      </c>
      <c r="G58">
        <f t="shared" si="2"/>
        <v>8.3692028291632102E-4</v>
      </c>
      <c r="H58">
        <v>137.90575699999999</v>
      </c>
      <c r="I58">
        <f t="shared" si="3"/>
        <v>16.477764945480288</v>
      </c>
      <c r="K58" s="1" t="s">
        <v>59</v>
      </c>
      <c r="L58" s="1">
        <v>260</v>
      </c>
      <c r="M58" s="1">
        <f t="shared" si="4"/>
        <v>130</v>
      </c>
      <c r="N58" s="1">
        <v>240</v>
      </c>
      <c r="O58" s="1">
        <f t="shared" si="5"/>
        <v>120</v>
      </c>
      <c r="P58" s="1">
        <v>2</v>
      </c>
      <c r="Q58">
        <f t="shared" si="6"/>
        <v>4.8028668488080752E-4</v>
      </c>
      <c r="U58" s="1" t="s">
        <v>94</v>
      </c>
      <c r="V58" s="4">
        <v>260</v>
      </c>
      <c r="W58" s="4">
        <f t="shared" si="7"/>
        <v>130</v>
      </c>
      <c r="X58" s="4">
        <v>240</v>
      </c>
      <c r="Y58" s="4">
        <f t="shared" si="8"/>
        <v>120</v>
      </c>
      <c r="Z58" s="3">
        <v>40</v>
      </c>
      <c r="AA58">
        <f t="shared" si="9"/>
        <v>2.9405307237600462E-4</v>
      </c>
      <c r="AD58" s="1" t="s">
        <v>59</v>
      </c>
      <c r="AE58" s="4">
        <v>360</v>
      </c>
      <c r="AF58" s="4">
        <f t="shared" si="10"/>
        <v>180</v>
      </c>
      <c r="AG58" s="4">
        <v>370</v>
      </c>
      <c r="AH58" s="4">
        <f t="shared" si="11"/>
        <v>185</v>
      </c>
      <c r="AI58" s="1">
        <v>1</v>
      </c>
      <c r="AJ58">
        <f t="shared" si="12"/>
        <v>1.0356888501089473E-3</v>
      </c>
    </row>
    <row r="59" spans="1:36" x14ac:dyDescent="0.25">
      <c r="A59" s="1" t="s">
        <v>58</v>
      </c>
      <c r="B59" s="1">
        <v>270</v>
      </c>
      <c r="C59" s="1">
        <f t="shared" si="0"/>
        <v>135</v>
      </c>
      <c r="D59" s="1">
        <v>320</v>
      </c>
      <c r="E59" s="1">
        <f t="shared" si="1"/>
        <v>160</v>
      </c>
      <c r="F59" s="1">
        <v>10</v>
      </c>
      <c r="G59">
        <f t="shared" si="2"/>
        <v>6.1072561185785573E-4</v>
      </c>
      <c r="H59">
        <v>60.169798</v>
      </c>
      <c r="I59">
        <f t="shared" si="3"/>
        <v>9.8521818688691774</v>
      </c>
      <c r="K59" s="1" t="s">
        <v>97</v>
      </c>
      <c r="L59" s="4">
        <v>263</v>
      </c>
      <c r="M59" s="1">
        <f t="shared" si="4"/>
        <v>131.5</v>
      </c>
      <c r="N59" s="4">
        <v>240</v>
      </c>
      <c r="O59" s="1">
        <f t="shared" si="5"/>
        <v>120</v>
      </c>
      <c r="P59" s="1">
        <v>1</v>
      </c>
      <c r="Q59">
        <f t="shared" si="6"/>
        <v>4.9078588752910477E-4</v>
      </c>
      <c r="U59" s="1" t="s">
        <v>123</v>
      </c>
      <c r="V59" s="4">
        <v>263</v>
      </c>
      <c r="W59" s="4">
        <f t="shared" si="7"/>
        <v>131.5</v>
      </c>
      <c r="X59" s="4">
        <v>240</v>
      </c>
      <c r="Y59" s="4">
        <f t="shared" si="8"/>
        <v>120</v>
      </c>
      <c r="Z59" s="3">
        <v>75</v>
      </c>
      <c r="AA59">
        <f t="shared" si="9"/>
        <v>1.2393583018411734E-4</v>
      </c>
      <c r="AD59" s="1" t="s">
        <v>60</v>
      </c>
      <c r="AE59" s="4">
        <v>270</v>
      </c>
      <c r="AF59" s="4">
        <f t="shared" si="10"/>
        <v>135</v>
      </c>
      <c r="AG59" s="4">
        <v>320</v>
      </c>
      <c r="AH59" s="4">
        <f t="shared" si="11"/>
        <v>160</v>
      </c>
      <c r="AI59" s="1">
        <v>3</v>
      </c>
      <c r="AJ59">
        <f t="shared" si="12"/>
        <v>6.5822649278013336E-4</v>
      </c>
    </row>
    <row r="60" spans="1:36" x14ac:dyDescent="0.25">
      <c r="A60" s="1" t="s">
        <v>59</v>
      </c>
      <c r="B60" s="1">
        <v>320</v>
      </c>
      <c r="C60" s="1">
        <f t="shared" si="0"/>
        <v>160</v>
      </c>
      <c r="D60" s="1">
        <v>300</v>
      </c>
      <c r="E60" s="1">
        <f t="shared" si="1"/>
        <v>150</v>
      </c>
      <c r="F60" s="1">
        <v>6</v>
      </c>
      <c r="G60">
        <f t="shared" si="2"/>
        <v>7.0874330264985718E-4</v>
      </c>
      <c r="K60" s="1" t="s">
        <v>98</v>
      </c>
      <c r="L60" s="4">
        <v>263</v>
      </c>
      <c r="M60" s="1">
        <f t="shared" si="4"/>
        <v>131.5</v>
      </c>
      <c r="N60" s="4">
        <v>240</v>
      </c>
      <c r="O60" s="1">
        <f t="shared" si="5"/>
        <v>120</v>
      </c>
      <c r="P60" s="1">
        <v>6</v>
      </c>
      <c r="Q60">
        <f t="shared" si="6"/>
        <v>4.659987214922812E-4</v>
      </c>
      <c r="U60" s="1" t="s">
        <v>58</v>
      </c>
      <c r="V60" s="4">
        <v>263</v>
      </c>
      <c r="W60" s="4">
        <f t="shared" si="7"/>
        <v>131.5</v>
      </c>
      <c r="X60" s="4">
        <v>240</v>
      </c>
      <c r="Y60" s="4">
        <f t="shared" si="8"/>
        <v>120</v>
      </c>
      <c r="Z60" s="1">
        <v>8</v>
      </c>
      <c r="AA60">
        <f t="shared" si="9"/>
        <v>4.5608385507755187E-4</v>
      </c>
      <c r="AD60" s="1" t="s">
        <v>99</v>
      </c>
      <c r="AE60" s="4">
        <v>320</v>
      </c>
      <c r="AF60" s="4">
        <f t="shared" si="10"/>
        <v>160</v>
      </c>
      <c r="AG60" s="4">
        <v>300</v>
      </c>
      <c r="AH60" s="4">
        <f t="shared" si="11"/>
        <v>150</v>
      </c>
      <c r="AI60" s="1">
        <v>10</v>
      </c>
      <c r="AJ60">
        <f t="shared" si="12"/>
        <v>6.7858401317539532E-4</v>
      </c>
    </row>
    <row r="61" spans="1:36" x14ac:dyDescent="0.25">
      <c r="A61" s="1" t="s">
        <v>60</v>
      </c>
      <c r="B61" s="1">
        <v>310</v>
      </c>
      <c r="C61" s="1">
        <f t="shared" si="0"/>
        <v>155</v>
      </c>
      <c r="D61" s="1">
        <v>310</v>
      </c>
      <c r="E61" s="1">
        <f t="shared" si="1"/>
        <v>155</v>
      </c>
      <c r="F61" s="1">
        <v>2</v>
      </c>
      <c r="G61">
        <f t="shared" si="2"/>
        <v>7.396722823244489E-4</v>
      </c>
      <c r="K61" s="1" t="s">
        <v>99</v>
      </c>
      <c r="L61" s="4">
        <v>263</v>
      </c>
      <c r="M61" s="1">
        <f t="shared" si="4"/>
        <v>131.5</v>
      </c>
      <c r="N61" s="4">
        <v>240</v>
      </c>
      <c r="O61" s="1">
        <f t="shared" si="5"/>
        <v>120</v>
      </c>
      <c r="P61" s="1">
        <v>3</v>
      </c>
      <c r="Q61">
        <f t="shared" si="6"/>
        <v>4.8087102111437534E-4</v>
      </c>
      <c r="U61" s="1" t="s">
        <v>124</v>
      </c>
      <c r="V61" s="4">
        <v>263</v>
      </c>
      <c r="W61" s="4">
        <f t="shared" si="7"/>
        <v>131.5</v>
      </c>
      <c r="X61" s="4">
        <v>240</v>
      </c>
      <c r="Y61" s="4">
        <f t="shared" si="8"/>
        <v>120</v>
      </c>
      <c r="Z61" s="1">
        <v>10</v>
      </c>
      <c r="AA61">
        <f t="shared" si="9"/>
        <v>4.4616898866282244E-4</v>
      </c>
      <c r="AD61" s="1" t="s">
        <v>125</v>
      </c>
      <c r="AE61" s="4">
        <v>310</v>
      </c>
      <c r="AF61" s="4">
        <f t="shared" si="10"/>
        <v>155</v>
      </c>
      <c r="AG61" s="4">
        <v>310</v>
      </c>
      <c r="AH61" s="4">
        <f t="shared" si="11"/>
        <v>155</v>
      </c>
      <c r="AI61" s="1">
        <v>15</v>
      </c>
      <c r="AJ61">
        <f t="shared" si="12"/>
        <v>6.4155248977120567E-4</v>
      </c>
    </row>
    <row r="62" spans="1:36" x14ac:dyDescent="0.25">
      <c r="A62" s="1" t="s">
        <v>61</v>
      </c>
      <c r="B62" s="1">
        <v>210</v>
      </c>
      <c r="C62" s="1">
        <f t="shared" si="0"/>
        <v>105</v>
      </c>
      <c r="D62" s="1">
        <v>300</v>
      </c>
      <c r="E62" s="1">
        <f t="shared" si="1"/>
        <v>150</v>
      </c>
      <c r="F62" s="1">
        <v>10</v>
      </c>
      <c r="G62">
        <f t="shared" si="2"/>
        <v>4.4532075864635323E-4</v>
      </c>
      <c r="K62" s="1" t="s">
        <v>63</v>
      </c>
      <c r="L62" s="1">
        <v>270</v>
      </c>
      <c r="M62" s="1">
        <f t="shared" si="4"/>
        <v>135</v>
      </c>
      <c r="N62" s="1">
        <v>200</v>
      </c>
      <c r="O62" s="1">
        <f t="shared" si="5"/>
        <v>100</v>
      </c>
      <c r="P62" s="3">
        <v>20</v>
      </c>
      <c r="Q62">
        <f t="shared" si="6"/>
        <v>3.3929200658769766E-4</v>
      </c>
      <c r="U62" s="1" t="s">
        <v>98</v>
      </c>
      <c r="V62" s="4">
        <v>270</v>
      </c>
      <c r="W62" s="4">
        <f t="shared" si="7"/>
        <v>135</v>
      </c>
      <c r="X62" s="4">
        <v>200</v>
      </c>
      <c r="Y62" s="4">
        <f t="shared" si="8"/>
        <v>100</v>
      </c>
      <c r="Z62" s="3">
        <v>60</v>
      </c>
      <c r="AA62">
        <f t="shared" si="9"/>
        <v>1.6964600329384883E-4</v>
      </c>
      <c r="AD62" s="1" t="s">
        <v>142</v>
      </c>
      <c r="AE62" s="4">
        <v>210</v>
      </c>
      <c r="AF62" s="4">
        <f t="shared" si="10"/>
        <v>105</v>
      </c>
      <c r="AG62" s="4">
        <v>300</v>
      </c>
      <c r="AH62" s="4">
        <f t="shared" si="11"/>
        <v>150</v>
      </c>
      <c r="AI62" s="3">
        <v>50</v>
      </c>
      <c r="AJ62">
        <f t="shared" si="12"/>
        <v>2.4740042147019625E-4</v>
      </c>
    </row>
    <row r="63" spans="1:36" x14ac:dyDescent="0.25">
      <c r="A63" s="1" t="s">
        <v>62</v>
      </c>
      <c r="B63" s="4">
        <v>288</v>
      </c>
      <c r="C63" s="1">
        <f t="shared" si="0"/>
        <v>144</v>
      </c>
      <c r="D63" s="4">
        <v>312</v>
      </c>
      <c r="E63" s="1">
        <f t="shared" si="1"/>
        <v>156</v>
      </c>
      <c r="F63" s="1">
        <v>10</v>
      </c>
      <c r="G63">
        <f t="shared" si="2"/>
        <v>6.3515463633217009E-4</v>
      </c>
      <c r="K63" s="1" t="s">
        <v>100</v>
      </c>
      <c r="L63" s="1">
        <v>260</v>
      </c>
      <c r="M63" s="1">
        <f t="shared" si="4"/>
        <v>130</v>
      </c>
      <c r="N63" s="1">
        <v>280</v>
      </c>
      <c r="O63" s="1">
        <f t="shared" si="5"/>
        <v>140</v>
      </c>
      <c r="P63" s="1">
        <v>12</v>
      </c>
      <c r="Q63">
        <f t="shared" si="6"/>
        <v>5.0315747939894118E-4</v>
      </c>
      <c r="U63" s="1" t="s">
        <v>99</v>
      </c>
      <c r="V63" s="4">
        <v>260</v>
      </c>
      <c r="W63" s="4">
        <f t="shared" si="7"/>
        <v>130</v>
      </c>
      <c r="X63" s="4">
        <v>280</v>
      </c>
      <c r="Y63" s="4">
        <f t="shared" si="8"/>
        <v>140</v>
      </c>
      <c r="Z63" s="3">
        <v>45</v>
      </c>
      <c r="AA63">
        <f t="shared" si="9"/>
        <v>3.144734246243383E-4</v>
      </c>
    </row>
    <row r="64" spans="1:36" x14ac:dyDescent="0.25">
      <c r="A64" s="1" t="s">
        <v>63</v>
      </c>
      <c r="B64" s="1">
        <v>330</v>
      </c>
      <c r="C64" s="1">
        <f t="shared" si="0"/>
        <v>165</v>
      </c>
      <c r="D64" s="1">
        <v>330</v>
      </c>
      <c r="E64" s="1">
        <f t="shared" si="1"/>
        <v>165</v>
      </c>
      <c r="F64" s="1">
        <v>4</v>
      </c>
      <c r="G64">
        <f t="shared" si="2"/>
        <v>8.2108665594222822E-4</v>
      </c>
      <c r="U64" s="1" t="s">
        <v>125</v>
      </c>
      <c r="V64" s="4">
        <v>260</v>
      </c>
      <c r="W64" s="4">
        <f t="shared" si="7"/>
        <v>130</v>
      </c>
      <c r="X64" s="4">
        <v>280</v>
      </c>
      <c r="Y64" s="4">
        <f t="shared" si="8"/>
        <v>140</v>
      </c>
      <c r="Z64" s="3">
        <v>40</v>
      </c>
      <c r="AA64">
        <f t="shared" si="9"/>
        <v>3.4306191777200539E-4</v>
      </c>
    </row>
    <row r="65" spans="21:27" x14ac:dyDescent="0.25">
      <c r="U65" s="1" t="s">
        <v>100</v>
      </c>
      <c r="V65" s="4">
        <v>260</v>
      </c>
      <c r="W65" s="4">
        <f t="shared" si="7"/>
        <v>130</v>
      </c>
      <c r="X65" s="4">
        <v>280</v>
      </c>
      <c r="Y65" s="4">
        <f t="shared" si="8"/>
        <v>140</v>
      </c>
      <c r="Z65" s="3">
        <v>85</v>
      </c>
      <c r="AA65">
        <f t="shared" si="9"/>
        <v>8.5765479443001348E-5</v>
      </c>
    </row>
    <row r="66" spans="21:27" x14ac:dyDescent="0.25">
      <c r="U66" s="1" t="s">
        <v>126</v>
      </c>
      <c r="V66" s="4">
        <v>260</v>
      </c>
      <c r="W66" s="4">
        <f t="shared" si="7"/>
        <v>130</v>
      </c>
      <c r="X66" s="4">
        <v>280</v>
      </c>
      <c r="Y66" s="4">
        <f t="shared" si="8"/>
        <v>140</v>
      </c>
      <c r="Z66" s="3">
        <v>40</v>
      </c>
      <c r="AA66">
        <f t="shared" si="9"/>
        <v>3.4306191777200539E-4</v>
      </c>
    </row>
  </sheetData>
  <mergeCells count="4">
    <mergeCell ref="A1:G1"/>
    <mergeCell ref="K1:S1"/>
    <mergeCell ref="U1:AB1"/>
    <mergeCell ref="AD1:A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Vasundhara Acharya</dc:creator>
  <cp:lastModifiedBy>Tran, Henry</cp:lastModifiedBy>
  <dcterms:created xsi:type="dcterms:W3CDTF">2025-10-31T19:29:26Z</dcterms:created>
  <dcterms:modified xsi:type="dcterms:W3CDTF">2025-11-05T18:18:52Z</dcterms:modified>
</cp:coreProperties>
</file>