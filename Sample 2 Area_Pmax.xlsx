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nrytran/Desktop/Coding Projects/Thinfilms &amp; Nanotech/Vasundhara_Unnormalized_PMAX/"/>
    </mc:Choice>
  </mc:AlternateContent>
  <xr:revisionPtr revIDLastSave="0" documentId="13_ncr:1_{0CABA37C-304D-4346-ADE5-3D0BE9FCD228}" xr6:coauthVersionLast="47" xr6:coauthVersionMax="47" xr10:uidLastSave="{00000000-0000-0000-0000-000000000000}"/>
  <bookViews>
    <workbookView xWindow="0" yWindow="620" windowWidth="14400" windowHeight="15660" xr2:uid="{299C18BC-42DC-4A8B-9F7D-CF2F785B43FA}"/>
  </bookViews>
  <sheets>
    <sheet name="1kHz" sheetId="1" r:id="rId1"/>
    <sheet name="5Hz" sheetId="2" r:id="rId2"/>
    <sheet name="100kHz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" i="1" l="1"/>
  <c r="I18" i="1"/>
  <c r="I12" i="1"/>
  <c r="AM26" i="2"/>
  <c r="I18" i="2"/>
  <c r="I12" i="2"/>
  <c r="AM26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3" i="3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3" i="2"/>
  <c r="Y66" i="3"/>
  <c r="W66" i="3"/>
  <c r="Y65" i="3"/>
  <c r="W65" i="3"/>
  <c r="Y64" i="3"/>
  <c r="W64" i="3"/>
  <c r="Y63" i="3"/>
  <c r="W63" i="3"/>
  <c r="O63" i="3"/>
  <c r="M63" i="3"/>
  <c r="AI62" i="3"/>
  <c r="AG62" i="3"/>
  <c r="Y62" i="3"/>
  <c r="W62" i="3"/>
  <c r="O62" i="3"/>
  <c r="M62" i="3"/>
  <c r="AI61" i="3"/>
  <c r="AG61" i="3"/>
  <c r="Y61" i="3"/>
  <c r="W61" i="3"/>
  <c r="O61" i="3"/>
  <c r="M61" i="3"/>
  <c r="AI60" i="3"/>
  <c r="AG60" i="3"/>
  <c r="Y60" i="3"/>
  <c r="W60" i="3"/>
  <c r="O60" i="3"/>
  <c r="M60" i="3"/>
  <c r="AI59" i="3"/>
  <c r="AG59" i="3"/>
  <c r="Y59" i="3"/>
  <c r="W59" i="3"/>
  <c r="O59" i="3"/>
  <c r="M59" i="3"/>
  <c r="AI58" i="3"/>
  <c r="AG58" i="3"/>
  <c r="Y58" i="3"/>
  <c r="W58" i="3"/>
  <c r="O58" i="3"/>
  <c r="M58" i="3"/>
  <c r="AI57" i="3"/>
  <c r="AG57" i="3"/>
  <c r="Y57" i="3"/>
  <c r="W57" i="3"/>
  <c r="O57" i="3"/>
  <c r="M57" i="3"/>
  <c r="AI56" i="3"/>
  <c r="AG56" i="3"/>
  <c r="Y56" i="3"/>
  <c r="W56" i="3"/>
  <c r="O56" i="3"/>
  <c r="M56" i="3"/>
  <c r="AI55" i="3"/>
  <c r="AG55" i="3"/>
  <c r="Y55" i="3"/>
  <c r="W55" i="3"/>
  <c r="O55" i="3"/>
  <c r="M55" i="3"/>
  <c r="AI54" i="3"/>
  <c r="AG54" i="3"/>
  <c r="Y54" i="3"/>
  <c r="W54" i="3"/>
  <c r="O54" i="3"/>
  <c r="M54" i="3"/>
  <c r="AI53" i="3"/>
  <c r="AG53" i="3"/>
  <c r="Y53" i="3"/>
  <c r="W53" i="3"/>
  <c r="O53" i="3"/>
  <c r="M53" i="3"/>
  <c r="AI52" i="3"/>
  <c r="AG52" i="3"/>
  <c r="Y52" i="3"/>
  <c r="W52" i="3"/>
  <c r="O52" i="3"/>
  <c r="M52" i="3"/>
  <c r="AI51" i="3"/>
  <c r="AG51" i="3"/>
  <c r="Y51" i="3"/>
  <c r="W51" i="3"/>
  <c r="O51" i="3"/>
  <c r="M51" i="3"/>
  <c r="AI50" i="3"/>
  <c r="AG50" i="3"/>
  <c r="Y50" i="3"/>
  <c r="W50" i="3"/>
  <c r="O50" i="3"/>
  <c r="M50" i="3"/>
  <c r="AI49" i="3"/>
  <c r="AG49" i="3"/>
  <c r="Y49" i="3"/>
  <c r="W49" i="3"/>
  <c r="O49" i="3"/>
  <c r="M49" i="3"/>
  <c r="AI48" i="3"/>
  <c r="AG48" i="3"/>
  <c r="Y48" i="3"/>
  <c r="W48" i="3"/>
  <c r="O48" i="3"/>
  <c r="M48" i="3"/>
  <c r="AI47" i="3"/>
  <c r="AG47" i="3"/>
  <c r="Y47" i="3"/>
  <c r="W47" i="3"/>
  <c r="O47" i="3"/>
  <c r="M47" i="3"/>
  <c r="AI46" i="3"/>
  <c r="AG46" i="3"/>
  <c r="Y46" i="3"/>
  <c r="W46" i="3"/>
  <c r="O46" i="3"/>
  <c r="M46" i="3"/>
  <c r="AI45" i="3"/>
  <c r="AG45" i="3"/>
  <c r="Y45" i="3"/>
  <c r="W45" i="3"/>
  <c r="O45" i="3"/>
  <c r="M45" i="3"/>
  <c r="AI44" i="3"/>
  <c r="AG44" i="3"/>
  <c r="Y44" i="3"/>
  <c r="W44" i="3"/>
  <c r="O44" i="3"/>
  <c r="M44" i="3"/>
  <c r="AI43" i="3"/>
  <c r="AG43" i="3"/>
  <c r="Y43" i="3"/>
  <c r="W43" i="3"/>
  <c r="O43" i="3"/>
  <c r="M43" i="3"/>
  <c r="AI42" i="3"/>
  <c r="AG42" i="3"/>
  <c r="Y42" i="3"/>
  <c r="W42" i="3"/>
  <c r="O42" i="3"/>
  <c r="M42" i="3"/>
  <c r="AI41" i="3"/>
  <c r="AG41" i="3"/>
  <c r="Y41" i="3"/>
  <c r="W41" i="3"/>
  <c r="O41" i="3"/>
  <c r="M41" i="3"/>
  <c r="AI40" i="3"/>
  <c r="AG40" i="3"/>
  <c r="Y40" i="3"/>
  <c r="W40" i="3"/>
  <c r="O40" i="3"/>
  <c r="M40" i="3"/>
  <c r="AI39" i="3"/>
  <c r="AG39" i="3"/>
  <c r="Y39" i="3"/>
  <c r="W39" i="3"/>
  <c r="O39" i="3"/>
  <c r="M39" i="3"/>
  <c r="AI38" i="3"/>
  <c r="AG38" i="3"/>
  <c r="Y38" i="3"/>
  <c r="W38" i="3"/>
  <c r="O38" i="3"/>
  <c r="M38" i="3"/>
  <c r="AI37" i="3"/>
  <c r="AG37" i="3"/>
  <c r="Y37" i="3"/>
  <c r="W37" i="3"/>
  <c r="O37" i="3"/>
  <c r="M37" i="3"/>
  <c r="AI36" i="3"/>
  <c r="AG36" i="3"/>
  <c r="Y36" i="3"/>
  <c r="W36" i="3"/>
  <c r="O36" i="3"/>
  <c r="M36" i="3"/>
  <c r="AI35" i="3"/>
  <c r="AG35" i="3"/>
  <c r="Y35" i="3"/>
  <c r="W35" i="3"/>
  <c r="O35" i="3"/>
  <c r="M35" i="3"/>
  <c r="AI34" i="3"/>
  <c r="AG34" i="3"/>
  <c r="Y34" i="3"/>
  <c r="W34" i="3"/>
  <c r="O34" i="3"/>
  <c r="M34" i="3"/>
  <c r="AI33" i="3"/>
  <c r="AG33" i="3"/>
  <c r="Y33" i="3"/>
  <c r="W33" i="3"/>
  <c r="O33" i="3"/>
  <c r="M33" i="3"/>
  <c r="AI32" i="3"/>
  <c r="AG32" i="3"/>
  <c r="Y32" i="3"/>
  <c r="W32" i="3"/>
  <c r="O32" i="3"/>
  <c r="M32" i="3"/>
  <c r="AI31" i="3"/>
  <c r="AG31" i="3"/>
  <c r="Y31" i="3"/>
  <c r="W31" i="3"/>
  <c r="O31" i="3"/>
  <c r="M31" i="3"/>
  <c r="AI30" i="3"/>
  <c r="AG30" i="3"/>
  <c r="Y30" i="3"/>
  <c r="W30" i="3"/>
  <c r="O30" i="3"/>
  <c r="M30" i="3"/>
  <c r="AI29" i="3"/>
  <c r="AG29" i="3"/>
  <c r="Y29" i="3"/>
  <c r="W29" i="3"/>
  <c r="O29" i="3"/>
  <c r="M29" i="3"/>
  <c r="AI28" i="3"/>
  <c r="AG28" i="3"/>
  <c r="Y28" i="3"/>
  <c r="W28" i="3"/>
  <c r="O28" i="3"/>
  <c r="M28" i="3"/>
  <c r="AI27" i="3"/>
  <c r="AG27" i="3"/>
  <c r="Y27" i="3"/>
  <c r="W27" i="3"/>
  <c r="O27" i="3"/>
  <c r="M27" i="3"/>
  <c r="AI26" i="3"/>
  <c r="AG26" i="3"/>
  <c r="Y26" i="3"/>
  <c r="W26" i="3"/>
  <c r="O26" i="3"/>
  <c r="M26" i="3"/>
  <c r="AI25" i="3"/>
  <c r="AG25" i="3"/>
  <c r="Y25" i="3"/>
  <c r="W25" i="3"/>
  <c r="O25" i="3"/>
  <c r="M25" i="3"/>
  <c r="AI24" i="3"/>
  <c r="AG24" i="3"/>
  <c r="Y24" i="3"/>
  <c r="W24" i="3"/>
  <c r="O24" i="3"/>
  <c r="M24" i="3"/>
  <c r="AI23" i="3"/>
  <c r="AG23" i="3"/>
  <c r="Y23" i="3"/>
  <c r="W23" i="3"/>
  <c r="O23" i="3"/>
  <c r="M23" i="3"/>
  <c r="AI22" i="3"/>
  <c r="AG22" i="3"/>
  <c r="Y22" i="3"/>
  <c r="W22" i="3"/>
  <c r="O22" i="3"/>
  <c r="M22" i="3"/>
  <c r="AI21" i="3"/>
  <c r="AG21" i="3"/>
  <c r="Y21" i="3"/>
  <c r="W21" i="3"/>
  <c r="O21" i="3"/>
  <c r="M21" i="3"/>
  <c r="AI20" i="3"/>
  <c r="AG20" i="3"/>
  <c r="Y20" i="3"/>
  <c r="W20" i="3"/>
  <c r="O20" i="3"/>
  <c r="M20" i="3"/>
  <c r="AI19" i="3"/>
  <c r="AG19" i="3"/>
  <c r="Y19" i="3"/>
  <c r="W19" i="3"/>
  <c r="O19" i="3"/>
  <c r="M19" i="3"/>
  <c r="AI18" i="3"/>
  <c r="AG18" i="3"/>
  <c r="Y18" i="3"/>
  <c r="W18" i="3"/>
  <c r="O18" i="3"/>
  <c r="M18" i="3"/>
  <c r="AI17" i="3"/>
  <c r="AG17" i="3"/>
  <c r="Y17" i="3"/>
  <c r="W17" i="3"/>
  <c r="AA17" i="3" s="1"/>
  <c r="AC17" i="3" s="1"/>
  <c r="O17" i="3"/>
  <c r="M17" i="3"/>
  <c r="AI16" i="3"/>
  <c r="AG16" i="3"/>
  <c r="Y16" i="3"/>
  <c r="W16" i="3"/>
  <c r="O16" i="3"/>
  <c r="M16" i="3"/>
  <c r="Q16" i="3" s="1"/>
  <c r="S16" i="3" s="1"/>
  <c r="AI15" i="3"/>
  <c r="AG15" i="3"/>
  <c r="Y15" i="3"/>
  <c r="W15" i="3"/>
  <c r="O15" i="3"/>
  <c r="M15" i="3"/>
  <c r="AI14" i="3"/>
  <c r="AG14" i="3"/>
  <c r="AK14" i="3" s="1"/>
  <c r="AM14" i="3" s="1"/>
  <c r="Y14" i="3"/>
  <c r="W14" i="3"/>
  <c r="O14" i="3"/>
  <c r="M14" i="3"/>
  <c r="AI13" i="3"/>
  <c r="AG13" i="3"/>
  <c r="Y13" i="3"/>
  <c r="W13" i="3"/>
  <c r="O13" i="3"/>
  <c r="M13" i="3"/>
  <c r="AI12" i="3"/>
  <c r="AG12" i="3"/>
  <c r="Y12" i="3"/>
  <c r="W12" i="3"/>
  <c r="O12" i="3"/>
  <c r="M12" i="3"/>
  <c r="Q12" i="3" s="1"/>
  <c r="S12" i="3" s="1"/>
  <c r="AI11" i="3"/>
  <c r="AG11" i="3"/>
  <c r="Y11" i="3"/>
  <c r="W11" i="3"/>
  <c r="O11" i="3"/>
  <c r="M11" i="3"/>
  <c r="AI10" i="3"/>
  <c r="AG10" i="3"/>
  <c r="AK10" i="3" s="1"/>
  <c r="AM10" i="3" s="1"/>
  <c r="Y10" i="3"/>
  <c r="W10" i="3"/>
  <c r="O10" i="3"/>
  <c r="M10" i="3"/>
  <c r="AI9" i="3"/>
  <c r="AG9" i="3"/>
  <c r="Y9" i="3"/>
  <c r="W9" i="3"/>
  <c r="O9" i="3"/>
  <c r="M9" i="3"/>
  <c r="AI8" i="3"/>
  <c r="AG8" i="3"/>
  <c r="Y8" i="3"/>
  <c r="W8" i="3"/>
  <c r="O8" i="3"/>
  <c r="M8" i="3"/>
  <c r="Q8" i="3" s="1"/>
  <c r="S8" i="3" s="1"/>
  <c r="AI7" i="3"/>
  <c r="AG7" i="3"/>
  <c r="Y7" i="3"/>
  <c r="W7" i="3"/>
  <c r="O7" i="3"/>
  <c r="M7" i="3"/>
  <c r="AI6" i="3"/>
  <c r="AG6" i="3"/>
  <c r="Y6" i="3"/>
  <c r="W6" i="3"/>
  <c r="O6" i="3"/>
  <c r="M6" i="3"/>
  <c r="AI5" i="3"/>
  <c r="AG5" i="3"/>
  <c r="Y5" i="3"/>
  <c r="W5" i="3"/>
  <c r="AA5" i="3" s="1"/>
  <c r="AC5" i="3" s="1"/>
  <c r="O5" i="3"/>
  <c r="M5" i="3"/>
  <c r="AI4" i="3"/>
  <c r="AG4" i="3"/>
  <c r="Y4" i="3"/>
  <c r="W4" i="3"/>
  <c r="O4" i="3"/>
  <c r="M4" i="3"/>
  <c r="AI3" i="3"/>
  <c r="AG3" i="3"/>
  <c r="Y3" i="3"/>
  <c r="W3" i="3"/>
  <c r="O3" i="3"/>
  <c r="M3" i="3"/>
  <c r="AI62" i="2"/>
  <c r="AG62" i="2"/>
  <c r="AK62" i="2" s="1"/>
  <c r="AM62" i="2" s="1"/>
  <c r="AI61" i="2"/>
  <c r="AG61" i="2"/>
  <c r="AI60" i="2"/>
  <c r="AG60" i="2"/>
  <c r="AI59" i="2"/>
  <c r="AG59" i="2"/>
  <c r="AI58" i="2"/>
  <c r="AG58" i="2"/>
  <c r="AK58" i="2" s="1"/>
  <c r="AM58" i="2" s="1"/>
  <c r="AI57" i="2"/>
  <c r="AG57" i="2"/>
  <c r="AI56" i="2"/>
  <c r="AG56" i="2"/>
  <c r="AI55" i="2"/>
  <c r="AG55" i="2"/>
  <c r="AI54" i="2"/>
  <c r="AG54" i="2"/>
  <c r="AK54" i="2" s="1"/>
  <c r="AM54" i="2" s="1"/>
  <c r="AI53" i="2"/>
  <c r="AG53" i="2"/>
  <c r="AI52" i="2"/>
  <c r="AG52" i="2"/>
  <c r="AI51" i="2"/>
  <c r="AG51" i="2"/>
  <c r="AI50" i="2"/>
  <c r="AG50" i="2"/>
  <c r="AK50" i="2" s="1"/>
  <c r="AM50" i="2" s="1"/>
  <c r="AI49" i="2"/>
  <c r="AG49" i="2"/>
  <c r="AI48" i="2"/>
  <c r="AG48" i="2"/>
  <c r="AI47" i="2"/>
  <c r="AG47" i="2"/>
  <c r="AI46" i="2"/>
  <c r="AG46" i="2"/>
  <c r="AI45" i="2"/>
  <c r="AG45" i="2"/>
  <c r="AI44" i="2"/>
  <c r="AG44" i="2"/>
  <c r="AI43" i="2"/>
  <c r="AG43" i="2"/>
  <c r="AI42" i="2"/>
  <c r="AG42" i="2"/>
  <c r="AI41" i="2"/>
  <c r="AG41" i="2"/>
  <c r="AI40" i="2"/>
  <c r="AG40" i="2"/>
  <c r="AI39" i="2"/>
  <c r="AG39" i="2"/>
  <c r="AI38" i="2"/>
  <c r="AG38" i="2"/>
  <c r="AI37" i="2"/>
  <c r="AG37" i="2"/>
  <c r="AI36" i="2"/>
  <c r="AG36" i="2"/>
  <c r="AI35" i="2"/>
  <c r="AG35" i="2"/>
  <c r="AI34" i="2"/>
  <c r="AG34" i="2"/>
  <c r="AI33" i="2"/>
  <c r="AG33" i="2"/>
  <c r="AI32" i="2"/>
  <c r="AG32" i="2"/>
  <c r="AI31" i="2"/>
  <c r="AG31" i="2"/>
  <c r="AI30" i="2"/>
  <c r="AG30" i="2"/>
  <c r="AI29" i="2"/>
  <c r="AG29" i="2"/>
  <c r="AI28" i="2"/>
  <c r="AG28" i="2"/>
  <c r="AI27" i="2"/>
  <c r="AG27" i="2"/>
  <c r="AI26" i="2"/>
  <c r="AG26" i="2"/>
  <c r="AI25" i="2"/>
  <c r="AG25" i="2"/>
  <c r="AI24" i="2"/>
  <c r="AG24" i="2"/>
  <c r="AI23" i="2"/>
  <c r="AG23" i="2"/>
  <c r="AI22" i="2"/>
  <c r="AG22" i="2"/>
  <c r="AI21" i="2"/>
  <c r="AG21" i="2"/>
  <c r="AI20" i="2"/>
  <c r="AG20" i="2"/>
  <c r="AI19" i="2"/>
  <c r="AG19" i="2"/>
  <c r="AI18" i="2"/>
  <c r="AG18" i="2"/>
  <c r="AI17" i="2"/>
  <c r="AG17" i="2"/>
  <c r="AI16" i="2"/>
  <c r="AG16" i="2"/>
  <c r="AI15" i="2"/>
  <c r="AG15" i="2"/>
  <c r="AI14" i="2"/>
  <c r="AG14" i="2"/>
  <c r="AI13" i="2"/>
  <c r="AG13" i="2"/>
  <c r="AI12" i="2"/>
  <c r="AG12" i="2"/>
  <c r="AI11" i="2"/>
  <c r="AG11" i="2"/>
  <c r="AI10" i="2"/>
  <c r="AG10" i="2"/>
  <c r="AI9" i="2"/>
  <c r="AG9" i="2"/>
  <c r="AI8" i="2"/>
  <c r="AG8" i="2"/>
  <c r="AI7" i="2"/>
  <c r="AG7" i="2"/>
  <c r="AI6" i="2"/>
  <c r="AG6" i="2"/>
  <c r="AI5" i="2"/>
  <c r="AG5" i="2"/>
  <c r="AI4" i="2"/>
  <c r="AG4" i="2"/>
  <c r="AI3" i="2"/>
  <c r="AG3" i="2"/>
  <c r="Y66" i="2"/>
  <c r="W66" i="2"/>
  <c r="Y65" i="2"/>
  <c r="W65" i="2"/>
  <c r="Y64" i="2"/>
  <c r="W64" i="2"/>
  <c r="Y63" i="2"/>
  <c r="W63" i="2"/>
  <c r="Y62" i="2"/>
  <c r="W62" i="2"/>
  <c r="Y61" i="2"/>
  <c r="W61" i="2"/>
  <c r="Y60" i="2"/>
  <c r="W60" i="2"/>
  <c r="Y59" i="2"/>
  <c r="W59" i="2"/>
  <c r="Y58" i="2"/>
  <c r="W58" i="2"/>
  <c r="Y57" i="2"/>
  <c r="W57" i="2"/>
  <c r="Y56" i="2"/>
  <c r="W56" i="2"/>
  <c r="Y55" i="2"/>
  <c r="W55" i="2"/>
  <c r="Y54" i="2"/>
  <c r="W54" i="2"/>
  <c r="Y53" i="2"/>
  <c r="W53" i="2"/>
  <c r="Y52" i="2"/>
  <c r="W52" i="2"/>
  <c r="Y51" i="2"/>
  <c r="W51" i="2"/>
  <c r="Y50" i="2"/>
  <c r="W50" i="2"/>
  <c r="Y49" i="2"/>
  <c r="W49" i="2"/>
  <c r="Y48" i="2"/>
  <c r="W48" i="2"/>
  <c r="Y47" i="2"/>
  <c r="W47" i="2"/>
  <c r="Y46" i="2"/>
  <c r="W46" i="2"/>
  <c r="Y45" i="2"/>
  <c r="W45" i="2"/>
  <c r="Y44" i="2"/>
  <c r="W44" i="2"/>
  <c r="Y43" i="2"/>
  <c r="W43" i="2"/>
  <c r="Y42" i="2"/>
  <c r="W42" i="2"/>
  <c r="Y41" i="2"/>
  <c r="W41" i="2"/>
  <c r="Y40" i="2"/>
  <c r="W40" i="2"/>
  <c r="Y39" i="2"/>
  <c r="W39" i="2"/>
  <c r="Y38" i="2"/>
  <c r="W38" i="2"/>
  <c r="Y37" i="2"/>
  <c r="W37" i="2"/>
  <c r="Y36" i="2"/>
  <c r="W36" i="2"/>
  <c r="Y35" i="2"/>
  <c r="W35" i="2"/>
  <c r="Y34" i="2"/>
  <c r="W34" i="2"/>
  <c r="Y33" i="2"/>
  <c r="W33" i="2"/>
  <c r="Y32" i="2"/>
  <c r="W32" i="2"/>
  <c r="Y31" i="2"/>
  <c r="W31" i="2"/>
  <c r="Y30" i="2"/>
  <c r="W30" i="2"/>
  <c r="Y29" i="2"/>
  <c r="W29" i="2"/>
  <c r="Y28" i="2"/>
  <c r="W28" i="2"/>
  <c r="Y27" i="2"/>
  <c r="W27" i="2"/>
  <c r="Y26" i="2"/>
  <c r="W26" i="2"/>
  <c r="Y25" i="2"/>
  <c r="W25" i="2"/>
  <c r="Y24" i="2"/>
  <c r="W24" i="2"/>
  <c r="Y23" i="2"/>
  <c r="W23" i="2"/>
  <c r="Y22" i="2"/>
  <c r="W22" i="2"/>
  <c r="Y21" i="2"/>
  <c r="W21" i="2"/>
  <c r="Y20" i="2"/>
  <c r="W20" i="2"/>
  <c r="Y19" i="2"/>
  <c r="W19" i="2"/>
  <c r="Y18" i="2"/>
  <c r="W18" i="2"/>
  <c r="Y17" i="2"/>
  <c r="W17" i="2"/>
  <c r="Y16" i="2"/>
  <c r="W16" i="2"/>
  <c r="Y15" i="2"/>
  <c r="W15" i="2"/>
  <c r="Y14" i="2"/>
  <c r="W14" i="2"/>
  <c r="Y13" i="2"/>
  <c r="W13" i="2"/>
  <c r="Y12" i="2"/>
  <c r="W12" i="2"/>
  <c r="Y11" i="2"/>
  <c r="W11" i="2"/>
  <c r="Y10" i="2"/>
  <c r="W10" i="2"/>
  <c r="Y9" i="2"/>
  <c r="W9" i="2"/>
  <c r="Y8" i="2"/>
  <c r="W8" i="2"/>
  <c r="Y7" i="2"/>
  <c r="W7" i="2"/>
  <c r="Y6" i="2"/>
  <c r="W6" i="2"/>
  <c r="Y5" i="2"/>
  <c r="W5" i="2"/>
  <c r="Y4" i="2"/>
  <c r="W4" i="2"/>
  <c r="Y3" i="2"/>
  <c r="W3" i="2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M55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M45" i="2"/>
  <c r="O44" i="2"/>
  <c r="M44" i="2"/>
  <c r="O43" i="2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M35" i="2"/>
  <c r="O34" i="2"/>
  <c r="M34" i="2"/>
  <c r="O33" i="2"/>
  <c r="M33" i="2"/>
  <c r="O32" i="2"/>
  <c r="M32" i="2"/>
  <c r="O31" i="2"/>
  <c r="M31" i="2"/>
  <c r="O30" i="2"/>
  <c r="M30" i="2"/>
  <c r="O29" i="2"/>
  <c r="M29" i="2"/>
  <c r="O28" i="2"/>
  <c r="M28" i="2"/>
  <c r="O27" i="2"/>
  <c r="M27" i="2"/>
  <c r="O26" i="2"/>
  <c r="M26" i="2"/>
  <c r="O25" i="2"/>
  <c r="M25" i="2"/>
  <c r="O24" i="2"/>
  <c r="M24" i="2"/>
  <c r="O23" i="2"/>
  <c r="M23" i="2"/>
  <c r="O22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O14" i="2"/>
  <c r="M14" i="2"/>
  <c r="O13" i="2"/>
  <c r="M13" i="2"/>
  <c r="O12" i="2"/>
  <c r="M12" i="2"/>
  <c r="O11" i="2"/>
  <c r="M11" i="2"/>
  <c r="O10" i="2"/>
  <c r="M10" i="2"/>
  <c r="O9" i="2"/>
  <c r="M9" i="2"/>
  <c r="O8" i="2"/>
  <c r="M8" i="2"/>
  <c r="O7" i="2"/>
  <c r="M7" i="2"/>
  <c r="O6" i="2"/>
  <c r="M6" i="2"/>
  <c r="O5" i="2"/>
  <c r="M5" i="2"/>
  <c r="O4" i="2"/>
  <c r="M4" i="2"/>
  <c r="O3" i="2"/>
  <c r="M3" i="2"/>
  <c r="AM62" i="1"/>
  <c r="AM4" i="1"/>
  <c r="AM5" i="1"/>
  <c r="AM6" i="1"/>
  <c r="AM7" i="1"/>
  <c r="AM8" i="1"/>
  <c r="AM9" i="1"/>
  <c r="AM10" i="1"/>
  <c r="AM11" i="1"/>
  <c r="AM12" i="1"/>
  <c r="AM13" i="1"/>
  <c r="AM14" i="1"/>
  <c r="AM15" i="1"/>
  <c r="AM17" i="1"/>
  <c r="AM18" i="1"/>
  <c r="AM19" i="1"/>
  <c r="AM20" i="1"/>
  <c r="AM21" i="1"/>
  <c r="AM22" i="1"/>
  <c r="AM23" i="1"/>
  <c r="AM24" i="1"/>
  <c r="AM25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3" i="1"/>
  <c r="C43" i="1"/>
  <c r="E43" i="1"/>
  <c r="M43" i="1"/>
  <c r="O43" i="1"/>
  <c r="W43" i="1"/>
  <c r="Y43" i="1"/>
  <c r="AG43" i="1"/>
  <c r="AI43" i="1"/>
  <c r="C44" i="1"/>
  <c r="E44" i="1"/>
  <c r="M44" i="1"/>
  <c r="O44" i="1"/>
  <c r="Q44" i="1"/>
  <c r="S44" i="1" s="1"/>
  <c r="W44" i="1"/>
  <c r="Y44" i="1"/>
  <c r="AG44" i="1"/>
  <c r="AI44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3" i="1"/>
  <c r="AG4" i="1"/>
  <c r="AG5" i="1"/>
  <c r="AG6" i="1"/>
  <c r="AG7" i="1"/>
  <c r="AG8" i="1"/>
  <c r="AG9" i="1"/>
  <c r="AG10" i="1"/>
  <c r="AK10" i="1" s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K26" i="1" s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K42" i="1" s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K60" i="1" s="1"/>
  <c r="AG61" i="1"/>
  <c r="AG62" i="1"/>
  <c r="AG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AA15" i="1" s="1"/>
  <c r="AC15" i="1" s="1"/>
  <c r="W16" i="1"/>
  <c r="W17" i="1"/>
  <c r="W18" i="1"/>
  <c r="W19" i="1"/>
  <c r="W20" i="1"/>
  <c r="W21" i="1"/>
  <c r="AA21" i="1" s="1"/>
  <c r="AC21" i="1" s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AA37" i="1" s="1"/>
  <c r="AC37" i="1" s="1"/>
  <c r="W38" i="1"/>
  <c r="W39" i="1"/>
  <c r="W40" i="1"/>
  <c r="W41" i="1"/>
  <c r="W42" i="1"/>
  <c r="W45" i="1"/>
  <c r="W46" i="1"/>
  <c r="W47" i="1"/>
  <c r="W48" i="1"/>
  <c r="W49" i="1"/>
  <c r="AA49" i="1" s="1"/>
  <c r="AC49" i="1" s="1"/>
  <c r="W50" i="1"/>
  <c r="W51" i="1"/>
  <c r="W52" i="1"/>
  <c r="W53" i="1"/>
  <c r="W54" i="1"/>
  <c r="W55" i="1"/>
  <c r="AA55" i="1" s="1"/>
  <c r="AC55" i="1" s="1"/>
  <c r="W56" i="1"/>
  <c r="W57" i="1"/>
  <c r="W58" i="1"/>
  <c r="W59" i="1"/>
  <c r="W60" i="1"/>
  <c r="W61" i="1"/>
  <c r="W62" i="1"/>
  <c r="W63" i="1"/>
  <c r="W64" i="1"/>
  <c r="W65" i="1"/>
  <c r="AA65" i="1" s="1"/>
  <c r="AC65" i="1" s="1"/>
  <c r="W66" i="1"/>
  <c r="W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3" i="1"/>
  <c r="M4" i="1"/>
  <c r="Q4" i="1" s="1"/>
  <c r="S4" i="1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Q20" i="1" s="1"/>
  <c r="S20" i="1" s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Q36" i="1" s="1"/>
  <c r="S36" i="1" s="1"/>
  <c r="M37" i="1"/>
  <c r="M38" i="1"/>
  <c r="M39" i="1"/>
  <c r="M40" i="1"/>
  <c r="M41" i="1"/>
  <c r="M42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" i="1"/>
  <c r="Q28" i="3" l="1"/>
  <c r="S28" i="3" s="1"/>
  <c r="AK4" i="3"/>
  <c r="AM4" i="3" s="1"/>
  <c r="AA15" i="3"/>
  <c r="AC15" i="3" s="1"/>
  <c r="AK16" i="3"/>
  <c r="AA27" i="3"/>
  <c r="AC27" i="3" s="1"/>
  <c r="AK28" i="3"/>
  <c r="AM28" i="3" s="1"/>
  <c r="Q30" i="3"/>
  <c r="S30" i="3" s="1"/>
  <c r="AA31" i="3"/>
  <c r="AC31" i="3" s="1"/>
  <c r="AK32" i="3"/>
  <c r="AM32" i="3" s="1"/>
  <c r="Q34" i="3"/>
  <c r="S34" i="3" s="1"/>
  <c r="AA35" i="3"/>
  <c r="AC35" i="3" s="1"/>
  <c r="AK36" i="3"/>
  <c r="AM36" i="3" s="1"/>
  <c r="Q38" i="3"/>
  <c r="S38" i="3" s="1"/>
  <c r="AA39" i="3"/>
  <c r="AC39" i="3" s="1"/>
  <c r="AK40" i="3"/>
  <c r="AM40" i="3" s="1"/>
  <c r="Q42" i="3"/>
  <c r="S42" i="3" s="1"/>
  <c r="AA43" i="3"/>
  <c r="AC43" i="3" s="1"/>
  <c r="AK44" i="3"/>
  <c r="AM44" i="3" s="1"/>
  <c r="Q46" i="3"/>
  <c r="S46" i="3" s="1"/>
  <c r="AA47" i="3"/>
  <c r="AC47" i="3" s="1"/>
  <c r="AK48" i="3"/>
  <c r="AM48" i="3" s="1"/>
  <c r="Q50" i="3"/>
  <c r="S50" i="3" s="1"/>
  <c r="AA51" i="3"/>
  <c r="AC51" i="3" s="1"/>
  <c r="AK52" i="3"/>
  <c r="AM52" i="3" s="1"/>
  <c r="Q54" i="3"/>
  <c r="S54" i="3" s="1"/>
  <c r="AA55" i="3"/>
  <c r="AC55" i="3" s="1"/>
  <c r="AK56" i="3"/>
  <c r="AM56" i="3" s="1"/>
  <c r="Q58" i="3"/>
  <c r="S58" i="3" s="1"/>
  <c r="AA59" i="3"/>
  <c r="AC59" i="3" s="1"/>
  <c r="AK60" i="3"/>
  <c r="AM60" i="3" s="1"/>
  <c r="Q62" i="3"/>
  <c r="S62" i="3" s="1"/>
  <c r="AA63" i="3"/>
  <c r="AC63" i="3" s="1"/>
  <c r="AK21" i="3"/>
  <c r="AM21" i="3" s="1"/>
  <c r="AK11" i="3"/>
  <c r="AM11" i="3" s="1"/>
  <c r="Q17" i="3"/>
  <c r="S17" i="3" s="1"/>
  <c r="AA18" i="3"/>
  <c r="AC18" i="3" s="1"/>
  <c r="Q21" i="3"/>
  <c r="S21" i="3" s="1"/>
  <c r="AA22" i="3"/>
  <c r="AC22" i="3" s="1"/>
  <c r="Q25" i="3"/>
  <c r="S25" i="3" s="1"/>
  <c r="AA26" i="3"/>
  <c r="AC26" i="3" s="1"/>
  <c r="AK27" i="3"/>
  <c r="AM27" i="3" s="1"/>
  <c r="AA30" i="3"/>
  <c r="AK31" i="3"/>
  <c r="AM31" i="3" s="1"/>
  <c r="Q33" i="3"/>
  <c r="S33" i="3" s="1"/>
  <c r="AA34" i="3"/>
  <c r="AC34" i="3" s="1"/>
  <c r="AK35" i="3"/>
  <c r="AM35" i="3" s="1"/>
  <c r="Q37" i="3"/>
  <c r="S37" i="3" s="1"/>
  <c r="AA38" i="3"/>
  <c r="AC38" i="3" s="1"/>
  <c r="AK39" i="3"/>
  <c r="AM39" i="3" s="1"/>
  <c r="Q41" i="3"/>
  <c r="S41" i="3" s="1"/>
  <c r="AA42" i="3"/>
  <c r="AC42" i="3" s="1"/>
  <c r="AK43" i="3"/>
  <c r="AM43" i="3" s="1"/>
  <c r="Q45" i="3"/>
  <c r="S45" i="3" s="1"/>
  <c r="AA46" i="3"/>
  <c r="AC46" i="3" s="1"/>
  <c r="AK47" i="3"/>
  <c r="AM47" i="3" s="1"/>
  <c r="Q49" i="3"/>
  <c r="S49" i="3" s="1"/>
  <c r="AA50" i="3"/>
  <c r="AC50" i="3" s="1"/>
  <c r="AK51" i="3"/>
  <c r="AM51" i="3" s="1"/>
  <c r="Q53" i="3"/>
  <c r="S53" i="3" s="1"/>
  <c r="AA54" i="3"/>
  <c r="AC54" i="3" s="1"/>
  <c r="AK55" i="3"/>
  <c r="AM55" i="3" s="1"/>
  <c r="Q57" i="3"/>
  <c r="S57" i="3" s="1"/>
  <c r="AA58" i="3"/>
  <c r="AC58" i="3" s="1"/>
  <c r="AK59" i="3"/>
  <c r="AM59" i="3" s="1"/>
  <c r="Q61" i="3"/>
  <c r="S61" i="3" s="1"/>
  <c r="AA62" i="3"/>
  <c r="AC62" i="3" s="1"/>
  <c r="AA64" i="3"/>
  <c r="AC64" i="3" s="1"/>
  <c r="Q3" i="3"/>
  <c r="S3" i="3" s="1"/>
  <c r="AA4" i="3"/>
  <c r="AC4" i="3" s="1"/>
  <c r="AA8" i="3"/>
  <c r="AC8" i="3" s="1"/>
  <c r="AA12" i="3"/>
  <c r="AC12" i="3" s="1"/>
  <c r="Q15" i="3"/>
  <c r="S15" i="3" s="1"/>
  <c r="AK17" i="3"/>
  <c r="AM17" i="3" s="1"/>
  <c r="AK29" i="3"/>
  <c r="AM29" i="3" s="1"/>
  <c r="Q31" i="3"/>
  <c r="S31" i="3" s="1"/>
  <c r="AA32" i="3"/>
  <c r="AC32" i="3" s="1"/>
  <c r="AK33" i="3"/>
  <c r="AM33" i="3" s="1"/>
  <c r="Q35" i="3"/>
  <c r="S35" i="3" s="1"/>
  <c r="AA36" i="3"/>
  <c r="AC36" i="3" s="1"/>
  <c r="AK37" i="3"/>
  <c r="AM37" i="3" s="1"/>
  <c r="Q39" i="3"/>
  <c r="S39" i="3" s="1"/>
  <c r="AA40" i="3"/>
  <c r="AC40" i="3" s="1"/>
  <c r="AK41" i="3"/>
  <c r="AM41" i="3" s="1"/>
  <c r="Q43" i="3"/>
  <c r="S43" i="3" s="1"/>
  <c r="AA44" i="3"/>
  <c r="AC44" i="3" s="1"/>
  <c r="AK45" i="3"/>
  <c r="AM45" i="3" s="1"/>
  <c r="Q47" i="3"/>
  <c r="S47" i="3" s="1"/>
  <c r="AA48" i="3"/>
  <c r="AC48" i="3" s="1"/>
  <c r="AK49" i="3"/>
  <c r="AM49" i="3" s="1"/>
  <c r="Q51" i="3"/>
  <c r="S51" i="3" s="1"/>
  <c r="AA52" i="3"/>
  <c r="AC52" i="3" s="1"/>
  <c r="AK53" i="3"/>
  <c r="AM53" i="3" s="1"/>
  <c r="Q55" i="3"/>
  <c r="S55" i="3" s="1"/>
  <c r="AA56" i="3"/>
  <c r="AC56" i="3" s="1"/>
  <c r="AK57" i="3"/>
  <c r="AM57" i="3" s="1"/>
  <c r="Q59" i="3"/>
  <c r="S59" i="3" s="1"/>
  <c r="AA60" i="3"/>
  <c r="AC60" i="3" s="1"/>
  <c r="AK61" i="3"/>
  <c r="AM61" i="3" s="1"/>
  <c r="Q63" i="3"/>
  <c r="S63" i="3" s="1"/>
  <c r="AA66" i="3"/>
  <c r="AC66" i="3" s="1"/>
  <c r="AK3" i="3"/>
  <c r="AM3" i="3" s="1"/>
  <c r="AK7" i="3"/>
  <c r="AM7" i="3" s="1"/>
  <c r="AA65" i="3"/>
  <c r="AC65" i="3" s="1"/>
  <c r="AA14" i="3"/>
  <c r="AC14" i="3" s="1"/>
  <c r="Q5" i="3"/>
  <c r="S5" i="3" s="1"/>
  <c r="AK25" i="3"/>
  <c r="AM25" i="3" s="1"/>
  <c r="Q13" i="3"/>
  <c r="S13" i="3" s="1"/>
  <c r="AK19" i="3"/>
  <c r="AM19" i="3" s="1"/>
  <c r="AK23" i="3"/>
  <c r="AM23" i="3" s="1"/>
  <c r="AA3" i="3"/>
  <c r="AK18" i="3"/>
  <c r="AM18" i="3" s="1"/>
  <c r="Q20" i="3"/>
  <c r="S20" i="3" s="1"/>
  <c r="AK22" i="3"/>
  <c r="AM22" i="3" s="1"/>
  <c r="AK15" i="3"/>
  <c r="AM15" i="3" s="1"/>
  <c r="Q6" i="3"/>
  <c r="S6" i="3" s="1"/>
  <c r="AA7" i="3"/>
  <c r="AC7" i="3" s="1"/>
  <c r="AK9" i="3"/>
  <c r="AM9" i="3" s="1"/>
  <c r="Q19" i="3"/>
  <c r="S19" i="3" s="1"/>
  <c r="AA20" i="3"/>
  <c r="AC20" i="3" s="1"/>
  <c r="Q23" i="3"/>
  <c r="S23" i="3" s="1"/>
  <c r="AA24" i="3"/>
  <c r="AC24" i="3" s="1"/>
  <c r="AK30" i="3"/>
  <c r="AM30" i="3" s="1"/>
  <c r="AA33" i="3"/>
  <c r="AC33" i="3" s="1"/>
  <c r="Q36" i="3"/>
  <c r="S36" i="3" s="1"/>
  <c r="AK38" i="3"/>
  <c r="AM38" i="3" s="1"/>
  <c r="AA41" i="3"/>
  <c r="AC41" i="3" s="1"/>
  <c r="Q44" i="3"/>
  <c r="S44" i="3" s="1"/>
  <c r="AK46" i="3"/>
  <c r="AM46" i="3" s="1"/>
  <c r="AA49" i="3"/>
  <c r="AC49" i="3" s="1"/>
  <c r="Q52" i="3"/>
  <c r="S52" i="3" s="1"/>
  <c r="AK54" i="3"/>
  <c r="AM54" i="3" s="1"/>
  <c r="AA57" i="3"/>
  <c r="AC57" i="3" s="1"/>
  <c r="Q60" i="3"/>
  <c r="S60" i="3" s="1"/>
  <c r="AK62" i="3"/>
  <c r="AM62" i="3" s="1"/>
  <c r="AK13" i="3"/>
  <c r="AM13" i="3" s="1"/>
  <c r="AK5" i="3"/>
  <c r="AM5" i="3" s="1"/>
  <c r="Q7" i="3"/>
  <c r="S7" i="3" s="1"/>
  <c r="AA9" i="3"/>
  <c r="AC9" i="3" s="1"/>
  <c r="AA10" i="3"/>
  <c r="AC10" i="3" s="1"/>
  <c r="AK12" i="3"/>
  <c r="AM12" i="3" s="1"/>
  <c r="Q14" i="3"/>
  <c r="S14" i="3" s="1"/>
  <c r="AA19" i="3"/>
  <c r="AC19" i="3" s="1"/>
  <c r="AA21" i="3"/>
  <c r="AC21" i="3" s="1"/>
  <c r="AA25" i="3"/>
  <c r="AC25" i="3" s="1"/>
  <c r="Q4" i="3"/>
  <c r="S4" i="3" s="1"/>
  <c r="AA16" i="3"/>
  <c r="AC16" i="3" s="1"/>
  <c r="AK24" i="3"/>
  <c r="AM24" i="3" s="1"/>
  <c r="AK26" i="3"/>
  <c r="Q29" i="3"/>
  <c r="S29" i="3" s="1"/>
  <c r="Q9" i="3"/>
  <c r="S9" i="3" s="1"/>
  <c r="AA6" i="3"/>
  <c r="AC6" i="3" s="1"/>
  <c r="AK8" i="3"/>
  <c r="AM8" i="3" s="1"/>
  <c r="Q11" i="3"/>
  <c r="S11" i="3" s="1"/>
  <c r="AA13" i="3"/>
  <c r="AC13" i="3" s="1"/>
  <c r="Q27" i="3"/>
  <c r="S27" i="3" s="1"/>
  <c r="AA29" i="3"/>
  <c r="AC29" i="3" s="1"/>
  <c r="AK6" i="3"/>
  <c r="AM6" i="3" s="1"/>
  <c r="Q10" i="3"/>
  <c r="S10" i="3" s="1"/>
  <c r="AA11" i="3"/>
  <c r="AC11" i="3" s="1"/>
  <c r="Q22" i="3"/>
  <c r="S22" i="3" s="1"/>
  <c r="Q24" i="3"/>
  <c r="S24" i="3" s="1"/>
  <c r="AA28" i="3"/>
  <c r="AC28" i="3" s="1"/>
  <c r="Q32" i="3"/>
  <c r="S32" i="3" s="1"/>
  <c r="AK34" i="3"/>
  <c r="AM34" i="3" s="1"/>
  <c r="AA37" i="3"/>
  <c r="AC37" i="3" s="1"/>
  <c r="Q40" i="3"/>
  <c r="S40" i="3" s="1"/>
  <c r="AK42" i="3"/>
  <c r="AM42" i="3" s="1"/>
  <c r="AA45" i="3"/>
  <c r="AC45" i="3" s="1"/>
  <c r="Q48" i="3"/>
  <c r="S48" i="3" s="1"/>
  <c r="AK50" i="3"/>
  <c r="AM50" i="3" s="1"/>
  <c r="AA53" i="3"/>
  <c r="AC53" i="3" s="1"/>
  <c r="Q56" i="3"/>
  <c r="S56" i="3" s="1"/>
  <c r="AK58" i="3"/>
  <c r="AM58" i="3" s="1"/>
  <c r="AA61" i="3"/>
  <c r="AC61" i="3" s="1"/>
  <c r="Q18" i="3"/>
  <c r="S18" i="3" s="1"/>
  <c r="AK20" i="3"/>
  <c r="AM20" i="3" s="1"/>
  <c r="AA23" i="3"/>
  <c r="AC23" i="3" s="1"/>
  <c r="Q26" i="3"/>
  <c r="S26" i="3" s="1"/>
  <c r="Q10" i="2"/>
  <c r="S10" i="2" s="1"/>
  <c r="Q26" i="2"/>
  <c r="S26" i="2" s="1"/>
  <c r="Q34" i="2"/>
  <c r="S34" i="2" s="1"/>
  <c r="Q42" i="2"/>
  <c r="S42" i="2" s="1"/>
  <c r="Q46" i="2"/>
  <c r="S46" i="2" s="1"/>
  <c r="Q50" i="2"/>
  <c r="S50" i="2" s="1"/>
  <c r="Q54" i="2"/>
  <c r="S54" i="2" s="1"/>
  <c r="Q58" i="2"/>
  <c r="S58" i="2" s="1"/>
  <c r="AK9" i="2"/>
  <c r="AM9" i="2" s="1"/>
  <c r="Q32" i="2"/>
  <c r="S32" i="2" s="1"/>
  <c r="AA4" i="2"/>
  <c r="AC4" i="2" s="1"/>
  <c r="AA8" i="2"/>
  <c r="AC8" i="2" s="1"/>
  <c r="AA12" i="2"/>
  <c r="AC12" i="2" s="1"/>
  <c r="AA16" i="2"/>
  <c r="AC16" i="2" s="1"/>
  <c r="AA20" i="2"/>
  <c r="AC20" i="2" s="1"/>
  <c r="AA24" i="2"/>
  <c r="AC24" i="2" s="1"/>
  <c r="AA28" i="2"/>
  <c r="AC28" i="2" s="1"/>
  <c r="AA32" i="2"/>
  <c r="AC32" i="2" s="1"/>
  <c r="AA36" i="2"/>
  <c r="AC36" i="2" s="1"/>
  <c r="AA40" i="2"/>
  <c r="AC40" i="2" s="1"/>
  <c r="AA44" i="2"/>
  <c r="AC44" i="2" s="1"/>
  <c r="AA48" i="2"/>
  <c r="AC48" i="2" s="1"/>
  <c r="AA52" i="2"/>
  <c r="AC52" i="2" s="1"/>
  <c r="AA56" i="2"/>
  <c r="AC56" i="2" s="1"/>
  <c r="AA60" i="2"/>
  <c r="AC60" i="2" s="1"/>
  <c r="AA64" i="2"/>
  <c r="AC64" i="2" s="1"/>
  <c r="AK4" i="2"/>
  <c r="AM4" i="2" s="1"/>
  <c r="AK12" i="2"/>
  <c r="AM12" i="2" s="1"/>
  <c r="AK20" i="2"/>
  <c r="AM20" i="2" s="1"/>
  <c r="AK24" i="2"/>
  <c r="AM24" i="2" s="1"/>
  <c r="AK28" i="2"/>
  <c r="AM28" i="2" s="1"/>
  <c r="AK32" i="2"/>
  <c r="AM32" i="2" s="1"/>
  <c r="AK36" i="2"/>
  <c r="AM36" i="2" s="1"/>
  <c r="AK40" i="2"/>
  <c r="AM40" i="2" s="1"/>
  <c r="Q5" i="2"/>
  <c r="S5" i="2" s="1"/>
  <c r="Q17" i="2"/>
  <c r="S17" i="2" s="1"/>
  <c r="Q45" i="2"/>
  <c r="S45" i="2" s="1"/>
  <c r="Q12" i="2"/>
  <c r="S12" i="2" s="1"/>
  <c r="Q20" i="2"/>
  <c r="S20" i="2" s="1"/>
  <c r="Q44" i="2"/>
  <c r="S44" i="2" s="1"/>
  <c r="Q52" i="2"/>
  <c r="S52" i="2" s="1"/>
  <c r="Q49" i="2"/>
  <c r="S49" i="2" s="1"/>
  <c r="Q13" i="2"/>
  <c r="S13" i="2" s="1"/>
  <c r="Q37" i="2"/>
  <c r="S37" i="2" s="1"/>
  <c r="Q3" i="2"/>
  <c r="S3" i="2" s="1"/>
  <c r="Q7" i="2"/>
  <c r="S7" i="2" s="1"/>
  <c r="Q11" i="2"/>
  <c r="S11" i="2" s="1"/>
  <c r="Q15" i="2"/>
  <c r="S15" i="2" s="1"/>
  <c r="AK10" i="2"/>
  <c r="AM10" i="2" s="1"/>
  <c r="AK14" i="2"/>
  <c r="AM14" i="2" s="1"/>
  <c r="AK18" i="2"/>
  <c r="AM18" i="2" s="1"/>
  <c r="AK22" i="2"/>
  <c r="AM22" i="2" s="1"/>
  <c r="AK26" i="2"/>
  <c r="AK30" i="2"/>
  <c r="AM30" i="2" s="1"/>
  <c r="AK34" i="2"/>
  <c r="AM34" i="2" s="1"/>
  <c r="AK38" i="2"/>
  <c r="AM38" i="2" s="1"/>
  <c r="AK42" i="2"/>
  <c r="AM42" i="2" s="1"/>
  <c r="AK46" i="2"/>
  <c r="AM46" i="2" s="1"/>
  <c r="Q9" i="2"/>
  <c r="S9" i="2" s="1"/>
  <c r="Q41" i="2"/>
  <c r="S41" i="2" s="1"/>
  <c r="Q33" i="2"/>
  <c r="S33" i="2" s="1"/>
  <c r="AA7" i="2"/>
  <c r="AC7" i="2" s="1"/>
  <c r="AA11" i="2"/>
  <c r="AC11" i="2" s="1"/>
  <c r="AA15" i="2"/>
  <c r="AC15" i="2" s="1"/>
  <c r="AA19" i="2"/>
  <c r="AC19" i="2" s="1"/>
  <c r="AA23" i="2"/>
  <c r="AC23" i="2" s="1"/>
  <c r="AA27" i="2"/>
  <c r="AC27" i="2" s="1"/>
  <c r="AA31" i="2"/>
  <c r="AC31" i="2" s="1"/>
  <c r="AA35" i="2"/>
  <c r="AC35" i="2" s="1"/>
  <c r="AA39" i="2"/>
  <c r="AC39" i="2" s="1"/>
  <c r="AA43" i="2"/>
  <c r="AC43" i="2" s="1"/>
  <c r="AA47" i="2"/>
  <c r="AC47" i="2" s="1"/>
  <c r="AA51" i="2"/>
  <c r="AC51" i="2" s="1"/>
  <c r="AA55" i="2"/>
  <c r="AC55" i="2" s="1"/>
  <c r="AA59" i="2"/>
  <c r="AC59" i="2" s="1"/>
  <c r="AA63" i="2"/>
  <c r="AC63" i="2" s="1"/>
  <c r="AK3" i="2"/>
  <c r="AM3" i="2" s="1"/>
  <c r="AK7" i="2"/>
  <c r="AM7" i="2" s="1"/>
  <c r="AK11" i="2"/>
  <c r="AM11" i="2" s="1"/>
  <c r="Q14" i="2"/>
  <c r="S14" i="2" s="1"/>
  <c r="Q18" i="2"/>
  <c r="S18" i="2" s="1"/>
  <c r="Q22" i="2"/>
  <c r="S22" i="2" s="1"/>
  <c r="Q57" i="2"/>
  <c r="S57" i="2" s="1"/>
  <c r="Q8" i="2"/>
  <c r="S8" i="2" s="1"/>
  <c r="Q35" i="2"/>
  <c r="S35" i="2" s="1"/>
  <c r="Q39" i="2"/>
  <c r="S39" i="2" s="1"/>
  <c r="Q43" i="2"/>
  <c r="S43" i="2" s="1"/>
  <c r="Q47" i="2"/>
  <c r="S47" i="2" s="1"/>
  <c r="AK16" i="2"/>
  <c r="Q25" i="2"/>
  <c r="S25" i="2" s="1"/>
  <c r="Q40" i="2"/>
  <c r="S40" i="2" s="1"/>
  <c r="AK6" i="2"/>
  <c r="AM6" i="2" s="1"/>
  <c r="Q6" i="2"/>
  <c r="S6" i="2" s="1"/>
  <c r="Q24" i="2"/>
  <c r="S24" i="2" s="1"/>
  <c r="Q27" i="2"/>
  <c r="S27" i="2" s="1"/>
  <c r="Q31" i="2"/>
  <c r="S31" i="2" s="1"/>
  <c r="Q38" i="2"/>
  <c r="S38" i="2" s="1"/>
  <c r="Q56" i="2"/>
  <c r="S56" i="2" s="1"/>
  <c r="Q59" i="2"/>
  <c r="S59" i="2" s="1"/>
  <c r="AK27" i="2"/>
  <c r="AM27" i="2" s="1"/>
  <c r="AK31" i="2"/>
  <c r="AM31" i="2" s="1"/>
  <c r="AK35" i="2"/>
  <c r="AM35" i="2" s="1"/>
  <c r="AK39" i="2"/>
  <c r="AM39" i="2" s="1"/>
  <c r="AK43" i="2"/>
  <c r="AM43" i="2" s="1"/>
  <c r="AK47" i="2"/>
  <c r="AM47" i="2" s="1"/>
  <c r="AK51" i="2"/>
  <c r="AM51" i="2" s="1"/>
  <c r="AK55" i="2"/>
  <c r="AM55" i="2" s="1"/>
  <c r="AK59" i="2"/>
  <c r="AM59" i="2" s="1"/>
  <c r="AK44" i="2"/>
  <c r="AM44" i="2" s="1"/>
  <c r="AK48" i="2"/>
  <c r="AM48" i="2" s="1"/>
  <c r="AK52" i="2"/>
  <c r="AM52" i="2" s="1"/>
  <c r="AK56" i="2"/>
  <c r="AM56" i="2" s="1"/>
  <c r="AK60" i="2"/>
  <c r="AM60" i="2" s="1"/>
  <c r="Q21" i="2"/>
  <c r="S21" i="2" s="1"/>
  <c r="Q53" i="2"/>
  <c r="S53" i="2" s="1"/>
  <c r="Q4" i="2"/>
  <c r="S4" i="2" s="1"/>
  <c r="Q29" i="2"/>
  <c r="S29" i="2" s="1"/>
  <c r="Q36" i="2"/>
  <c r="S36" i="2" s="1"/>
  <c r="Q61" i="2"/>
  <c r="S61" i="2" s="1"/>
  <c r="Q28" i="2"/>
  <c r="S28" i="2" s="1"/>
  <c r="Q60" i="2"/>
  <c r="S60" i="2" s="1"/>
  <c r="AK29" i="2"/>
  <c r="AM29" i="2" s="1"/>
  <c r="AK33" i="2"/>
  <c r="AM33" i="2" s="1"/>
  <c r="AK37" i="2"/>
  <c r="AM37" i="2" s="1"/>
  <c r="AK41" i="2"/>
  <c r="AM41" i="2" s="1"/>
  <c r="AK45" i="2"/>
  <c r="AM45" i="2" s="1"/>
  <c r="AK49" i="2"/>
  <c r="AM49" i="2" s="1"/>
  <c r="AK53" i="2"/>
  <c r="AM53" i="2" s="1"/>
  <c r="AK57" i="2"/>
  <c r="AM57" i="2" s="1"/>
  <c r="AK61" i="2"/>
  <c r="AM61" i="2" s="1"/>
  <c r="Q16" i="2"/>
  <c r="S16" i="2" s="1"/>
  <c r="Q19" i="2"/>
  <c r="S19" i="2" s="1"/>
  <c r="Q23" i="2"/>
  <c r="S23" i="2" s="1"/>
  <c r="Q30" i="2"/>
  <c r="S30" i="2" s="1"/>
  <c r="Q48" i="2"/>
  <c r="S48" i="2" s="1"/>
  <c r="Q51" i="2"/>
  <c r="S51" i="2" s="1"/>
  <c r="Q55" i="2"/>
  <c r="S55" i="2" s="1"/>
  <c r="Q62" i="2"/>
  <c r="S62" i="2" s="1"/>
  <c r="AA5" i="2"/>
  <c r="AC5" i="2" s="1"/>
  <c r="AA9" i="2"/>
  <c r="AC9" i="2" s="1"/>
  <c r="AA13" i="2"/>
  <c r="AC13" i="2" s="1"/>
  <c r="AA17" i="2"/>
  <c r="AC17" i="2" s="1"/>
  <c r="AA21" i="2"/>
  <c r="AC21" i="2" s="1"/>
  <c r="AA25" i="2"/>
  <c r="AC25" i="2" s="1"/>
  <c r="AA29" i="2"/>
  <c r="AC29" i="2" s="1"/>
  <c r="AA33" i="2"/>
  <c r="AC33" i="2" s="1"/>
  <c r="AA37" i="2"/>
  <c r="AC37" i="2" s="1"/>
  <c r="AA41" i="2"/>
  <c r="AC41" i="2" s="1"/>
  <c r="AA45" i="2"/>
  <c r="AC45" i="2" s="1"/>
  <c r="AA49" i="2"/>
  <c r="AC49" i="2" s="1"/>
  <c r="AA53" i="2"/>
  <c r="AC53" i="2" s="1"/>
  <c r="AA57" i="2"/>
  <c r="AC57" i="2" s="1"/>
  <c r="AA61" i="2"/>
  <c r="AC61" i="2" s="1"/>
  <c r="AA65" i="2"/>
  <c r="AC65" i="2" s="1"/>
  <c r="AK8" i="2"/>
  <c r="AM8" i="2" s="1"/>
  <c r="AK19" i="2"/>
  <c r="AM19" i="2" s="1"/>
  <c r="AK23" i="2"/>
  <c r="AM23" i="2" s="1"/>
  <c r="Q63" i="2"/>
  <c r="S63" i="2" s="1"/>
  <c r="AA6" i="2"/>
  <c r="AC6" i="2" s="1"/>
  <c r="AA10" i="2"/>
  <c r="AC10" i="2" s="1"/>
  <c r="AA14" i="2"/>
  <c r="AC14" i="2" s="1"/>
  <c r="AA18" i="2"/>
  <c r="AC18" i="2" s="1"/>
  <c r="AA22" i="2"/>
  <c r="AC22" i="2" s="1"/>
  <c r="AA26" i="2"/>
  <c r="AC26" i="2" s="1"/>
  <c r="AA30" i="2"/>
  <c r="AA34" i="2"/>
  <c r="AC34" i="2" s="1"/>
  <c r="AA38" i="2"/>
  <c r="AC38" i="2" s="1"/>
  <c r="AA42" i="2"/>
  <c r="AC42" i="2" s="1"/>
  <c r="AA46" i="2"/>
  <c r="AC46" i="2" s="1"/>
  <c r="AA50" i="2"/>
  <c r="AC50" i="2" s="1"/>
  <c r="AA54" i="2"/>
  <c r="AC54" i="2" s="1"/>
  <c r="AA58" i="2"/>
  <c r="AC58" i="2" s="1"/>
  <c r="AA62" i="2"/>
  <c r="AC62" i="2" s="1"/>
  <c r="AA66" i="2"/>
  <c r="AC66" i="2" s="1"/>
  <c r="AK5" i="2"/>
  <c r="AM5" i="2" s="1"/>
  <c r="AK13" i="2"/>
  <c r="AM13" i="2" s="1"/>
  <c r="AA3" i="2"/>
  <c r="AK17" i="2"/>
  <c r="AM17" i="2" s="1"/>
  <c r="AK21" i="2"/>
  <c r="AM21" i="2" s="1"/>
  <c r="AK25" i="2"/>
  <c r="AM25" i="2" s="1"/>
  <c r="AK15" i="2"/>
  <c r="AM15" i="2" s="1"/>
  <c r="Q59" i="1"/>
  <c r="S59" i="1" s="1"/>
  <c r="Q41" i="1"/>
  <c r="S41" i="1" s="1"/>
  <c r="Q9" i="1"/>
  <c r="S9" i="1" s="1"/>
  <c r="Q25" i="1"/>
  <c r="S25" i="1" s="1"/>
  <c r="AA53" i="1"/>
  <c r="AC53" i="1" s="1"/>
  <c r="AA35" i="1"/>
  <c r="AC35" i="1" s="1"/>
  <c r="AA19" i="1"/>
  <c r="AC19" i="1" s="1"/>
  <c r="G33" i="1"/>
  <c r="I33" i="1" s="1"/>
  <c r="G17" i="1"/>
  <c r="I17" i="1" s="1"/>
  <c r="G43" i="1"/>
  <c r="I43" i="1" s="1"/>
  <c r="Q57" i="1"/>
  <c r="S57" i="1" s="1"/>
  <c r="Q39" i="1"/>
  <c r="S39" i="1" s="1"/>
  <c r="Q23" i="1"/>
  <c r="S23" i="1" s="1"/>
  <c r="Q7" i="1"/>
  <c r="S7" i="1" s="1"/>
  <c r="AK43" i="1"/>
  <c r="G32" i="1"/>
  <c r="I32" i="1" s="1"/>
  <c r="AK58" i="1"/>
  <c r="AK44" i="1"/>
  <c r="AA63" i="1"/>
  <c r="AC63" i="1" s="1"/>
  <c r="AA29" i="1"/>
  <c r="AC29" i="1" s="1"/>
  <c r="AA47" i="1"/>
  <c r="AC47" i="1" s="1"/>
  <c r="AA13" i="1"/>
  <c r="AC13" i="1" s="1"/>
  <c r="AA5" i="1"/>
  <c r="AC5" i="1" s="1"/>
  <c r="AA52" i="1"/>
  <c r="AC52" i="1" s="1"/>
  <c r="AA34" i="1"/>
  <c r="AC34" i="1" s="1"/>
  <c r="AA18" i="1"/>
  <c r="AC18" i="1" s="1"/>
  <c r="Q58" i="1"/>
  <c r="S58" i="1" s="1"/>
  <c r="Q24" i="1"/>
  <c r="S24" i="1" s="1"/>
  <c r="AA64" i="1"/>
  <c r="AC64" i="1" s="1"/>
  <c r="AA48" i="1"/>
  <c r="AC48" i="1" s="1"/>
  <c r="AA30" i="1"/>
  <c r="AA14" i="1"/>
  <c r="AC14" i="1" s="1"/>
  <c r="G28" i="1"/>
  <c r="I28" i="1" s="1"/>
  <c r="G12" i="1"/>
  <c r="Q53" i="1"/>
  <c r="S53" i="1" s="1"/>
  <c r="Q35" i="1"/>
  <c r="S35" i="1" s="1"/>
  <c r="Q19" i="1"/>
  <c r="S19" i="1" s="1"/>
  <c r="AA62" i="1"/>
  <c r="AC62" i="1" s="1"/>
  <c r="AA46" i="1"/>
  <c r="AC46" i="1" s="1"/>
  <c r="AA28" i="1"/>
  <c r="AC28" i="1" s="1"/>
  <c r="AA12" i="1"/>
  <c r="AC12" i="1" s="1"/>
  <c r="Q52" i="1"/>
  <c r="S52" i="1" s="1"/>
  <c r="Q34" i="1"/>
  <c r="S34" i="1" s="1"/>
  <c r="Q18" i="1"/>
  <c r="S18" i="1" s="1"/>
  <c r="AK35" i="1"/>
  <c r="AK19" i="1"/>
  <c r="AK34" i="1"/>
  <c r="AK18" i="1"/>
  <c r="AK51" i="1"/>
  <c r="AA54" i="1"/>
  <c r="AC54" i="1" s="1"/>
  <c r="AA36" i="1"/>
  <c r="AC36" i="1" s="1"/>
  <c r="AA20" i="1"/>
  <c r="AC20" i="1" s="1"/>
  <c r="AA4" i="1"/>
  <c r="AC4" i="1" s="1"/>
  <c r="G18" i="1"/>
  <c r="Q55" i="1"/>
  <c r="S55" i="1" s="1"/>
  <c r="Q37" i="1"/>
  <c r="S37" i="1" s="1"/>
  <c r="Q21" i="1"/>
  <c r="S21" i="1" s="1"/>
  <c r="Q5" i="1"/>
  <c r="S5" i="1" s="1"/>
  <c r="Q50" i="1"/>
  <c r="S50" i="1" s="1"/>
  <c r="AA59" i="1"/>
  <c r="AC59" i="1" s="1"/>
  <c r="AA41" i="1"/>
  <c r="AC41" i="1" s="1"/>
  <c r="AA25" i="1"/>
  <c r="AC25" i="1" s="1"/>
  <c r="AA9" i="1"/>
  <c r="AC9" i="1" s="1"/>
  <c r="G54" i="1"/>
  <c r="I54" i="1" s="1"/>
  <c r="AA58" i="1"/>
  <c r="AC58" i="1" s="1"/>
  <c r="AA40" i="1"/>
  <c r="AC40" i="1" s="1"/>
  <c r="AA24" i="1"/>
  <c r="AC24" i="1" s="1"/>
  <c r="AA8" i="1"/>
  <c r="AC8" i="1" s="1"/>
  <c r="AK50" i="1"/>
  <c r="G44" i="1"/>
  <c r="I44" i="1" s="1"/>
  <c r="G57" i="1"/>
  <c r="I57" i="1" s="1"/>
  <c r="G56" i="1"/>
  <c r="I56" i="1" s="1"/>
  <c r="Q46" i="1"/>
  <c r="S46" i="1" s="1"/>
  <c r="Q28" i="1"/>
  <c r="S28" i="1" s="1"/>
  <c r="Q12" i="1"/>
  <c r="S12" i="1" s="1"/>
  <c r="AK29" i="1"/>
  <c r="AK13" i="1"/>
  <c r="AK62" i="1"/>
  <c r="AK46" i="1"/>
  <c r="AK28" i="1"/>
  <c r="AK12" i="1"/>
  <c r="AA43" i="1"/>
  <c r="AC43" i="1" s="1"/>
  <c r="AA3" i="1"/>
  <c r="AA51" i="1"/>
  <c r="AC51" i="1" s="1"/>
  <c r="AA33" i="1"/>
  <c r="AC33" i="1" s="1"/>
  <c r="AA17" i="1"/>
  <c r="AC17" i="1" s="1"/>
  <c r="G3" i="1"/>
  <c r="I3" i="1" s="1"/>
  <c r="G49" i="1"/>
  <c r="I49" i="1" s="1"/>
  <c r="G64" i="1"/>
  <c r="G48" i="1"/>
  <c r="I48" i="1" s="1"/>
  <c r="AA44" i="1"/>
  <c r="AC44" i="1" s="1"/>
  <c r="G27" i="1"/>
  <c r="I27" i="1" s="1"/>
  <c r="G11" i="1"/>
  <c r="I11" i="1" s="1"/>
  <c r="AA61" i="1"/>
  <c r="AC61" i="1" s="1"/>
  <c r="AA45" i="1"/>
  <c r="AC45" i="1" s="1"/>
  <c r="AA27" i="1"/>
  <c r="AC27" i="1" s="1"/>
  <c r="AA11" i="1"/>
  <c r="AC11" i="1" s="1"/>
  <c r="G60" i="1"/>
  <c r="G38" i="1"/>
  <c r="I38" i="1" s="1"/>
  <c r="G22" i="1"/>
  <c r="I22" i="1" s="1"/>
  <c r="Q51" i="1"/>
  <c r="S51" i="1" s="1"/>
  <c r="AA60" i="1"/>
  <c r="AC60" i="1" s="1"/>
  <c r="AA42" i="1"/>
  <c r="AC42" i="1" s="1"/>
  <c r="AA26" i="1"/>
  <c r="AC26" i="1" s="1"/>
  <c r="AA10" i="1"/>
  <c r="AC10" i="1" s="1"/>
  <c r="G25" i="1"/>
  <c r="I25" i="1" s="1"/>
  <c r="G9" i="1"/>
  <c r="I9" i="1" s="1"/>
  <c r="G41" i="1"/>
  <c r="G40" i="1"/>
  <c r="I40" i="1" s="1"/>
  <c r="AA57" i="1"/>
  <c r="AC57" i="1" s="1"/>
  <c r="AA39" i="1"/>
  <c r="AC39" i="1" s="1"/>
  <c r="AA23" i="1"/>
  <c r="AC23" i="1" s="1"/>
  <c r="AA7" i="1"/>
  <c r="AC7" i="1" s="1"/>
  <c r="G59" i="1"/>
  <c r="I59" i="1" s="1"/>
  <c r="AA56" i="1"/>
  <c r="AC56" i="1" s="1"/>
  <c r="AA38" i="1"/>
  <c r="AC38" i="1" s="1"/>
  <c r="AA22" i="1"/>
  <c r="AC22" i="1" s="1"/>
  <c r="AA6" i="1"/>
  <c r="AC6" i="1" s="1"/>
  <c r="AK14" i="1"/>
  <c r="G8" i="1"/>
  <c r="I8" i="1" s="1"/>
  <c r="G24" i="1"/>
  <c r="I24" i="1" s="1"/>
  <c r="Q27" i="1"/>
  <c r="S27" i="1" s="1"/>
  <c r="Q11" i="1"/>
  <c r="S11" i="1" s="1"/>
  <c r="Q60" i="1"/>
  <c r="S60" i="1" s="1"/>
  <c r="AK61" i="1"/>
  <c r="AK45" i="1"/>
  <c r="AK27" i="1"/>
  <c r="AK11" i="1"/>
  <c r="AK59" i="1"/>
  <c r="Q43" i="1"/>
  <c r="S43" i="1" s="1"/>
  <c r="AA66" i="1"/>
  <c r="AC66" i="1" s="1"/>
  <c r="AA50" i="1"/>
  <c r="AC50" i="1" s="1"/>
  <c r="AA32" i="1"/>
  <c r="AC32" i="1" s="1"/>
  <c r="AA16" i="1"/>
  <c r="AC16" i="1" s="1"/>
  <c r="AK48" i="1"/>
  <c r="G58" i="1"/>
  <c r="I58" i="1" s="1"/>
  <c r="G42" i="1"/>
  <c r="I42" i="1" s="1"/>
  <c r="G26" i="1"/>
  <c r="I26" i="1" s="1"/>
  <c r="G6" i="1"/>
  <c r="I6" i="1" s="1"/>
  <c r="Q49" i="1"/>
  <c r="S49" i="1" s="1"/>
  <c r="Q33" i="1"/>
  <c r="S33" i="1" s="1"/>
  <c r="Q17" i="1"/>
  <c r="S17" i="1" s="1"/>
  <c r="G7" i="1"/>
  <c r="I7" i="1" s="1"/>
  <c r="AK41" i="1"/>
  <c r="AK9" i="1"/>
  <c r="G52" i="1"/>
  <c r="I52" i="1" s="1"/>
  <c r="G36" i="1"/>
  <c r="I36" i="1" s="1"/>
  <c r="G20" i="1"/>
  <c r="I20" i="1" s="1"/>
  <c r="G4" i="1"/>
  <c r="I4" i="1" s="1"/>
  <c r="G23" i="1"/>
  <c r="I23" i="1" s="1"/>
  <c r="AK25" i="1"/>
  <c r="Q62" i="1"/>
  <c r="S62" i="1" s="1"/>
  <c r="Q30" i="1"/>
  <c r="S30" i="1" s="1"/>
  <c r="Q14" i="1"/>
  <c r="S14" i="1" s="1"/>
  <c r="G55" i="1"/>
  <c r="I55" i="1" s="1"/>
  <c r="AK57" i="1"/>
  <c r="Q61" i="1"/>
  <c r="S61" i="1" s="1"/>
  <c r="Q45" i="1"/>
  <c r="S45" i="1" s="1"/>
  <c r="Q29" i="1"/>
  <c r="S29" i="1" s="1"/>
  <c r="Q13" i="1"/>
  <c r="S13" i="1" s="1"/>
  <c r="AK54" i="1"/>
  <c r="AK38" i="1"/>
  <c r="AK22" i="1"/>
  <c r="AK6" i="1"/>
  <c r="G39" i="1"/>
  <c r="I39" i="1" s="1"/>
  <c r="G15" i="1"/>
  <c r="I15" i="1" s="1"/>
  <c r="AK53" i="1"/>
  <c r="AK37" i="1"/>
  <c r="AK21" i="1"/>
  <c r="AK5" i="1"/>
  <c r="G62" i="1"/>
  <c r="G46" i="1"/>
  <c r="I46" i="1" s="1"/>
  <c r="G30" i="1"/>
  <c r="I30" i="1" s="1"/>
  <c r="G14" i="1"/>
  <c r="I14" i="1" s="1"/>
  <c r="AK30" i="1"/>
  <c r="G61" i="1"/>
  <c r="G45" i="1"/>
  <c r="I45" i="1" s="1"/>
  <c r="G29" i="1"/>
  <c r="I29" i="1" s="1"/>
  <c r="G13" i="1"/>
  <c r="I13" i="1" s="1"/>
  <c r="Q56" i="1"/>
  <c r="S56" i="1" s="1"/>
  <c r="Q40" i="1"/>
  <c r="S40" i="1" s="1"/>
  <c r="Q8" i="1"/>
  <c r="S8" i="1" s="1"/>
  <c r="AK32" i="1"/>
  <c r="AK16" i="1"/>
  <c r="AK3" i="1"/>
  <c r="AK47" i="1"/>
  <c r="AK31" i="1"/>
  <c r="AK15" i="1"/>
  <c r="G5" i="1"/>
  <c r="I5" i="1" s="1"/>
  <c r="Q3" i="1"/>
  <c r="S3" i="1" s="1"/>
  <c r="Q48" i="1"/>
  <c r="S48" i="1" s="1"/>
  <c r="Q32" i="1"/>
  <c r="S32" i="1" s="1"/>
  <c r="Q16" i="1"/>
  <c r="S16" i="1" s="1"/>
  <c r="G21" i="1"/>
  <c r="I21" i="1" s="1"/>
  <c r="G34" i="1"/>
  <c r="I34" i="1" s="1"/>
  <c r="Q63" i="1"/>
  <c r="S63" i="1" s="1"/>
  <c r="Q47" i="1"/>
  <c r="S47" i="1" s="1"/>
  <c r="Q31" i="1"/>
  <c r="S31" i="1" s="1"/>
  <c r="Q15" i="1"/>
  <c r="S15" i="1" s="1"/>
  <c r="AK56" i="1"/>
  <c r="AK40" i="1"/>
  <c r="AK24" i="1"/>
  <c r="AK8" i="1"/>
  <c r="AK52" i="1"/>
  <c r="AK36" i="1"/>
  <c r="AK20" i="1"/>
  <c r="AK4" i="1"/>
  <c r="G53" i="1"/>
  <c r="I53" i="1" s="1"/>
  <c r="G50" i="1"/>
  <c r="I50" i="1" s="1"/>
  <c r="G51" i="1"/>
  <c r="I51" i="1" s="1"/>
  <c r="G35" i="1"/>
  <c r="I35" i="1" s="1"/>
  <c r="G19" i="1"/>
  <c r="I19" i="1" s="1"/>
  <c r="AK55" i="1"/>
  <c r="AK39" i="1"/>
  <c r="AK23" i="1"/>
  <c r="AK7" i="1"/>
  <c r="AA31" i="1"/>
  <c r="AC31" i="1" s="1"/>
  <c r="G37" i="1"/>
  <c r="I37" i="1" s="1"/>
  <c r="AK49" i="1"/>
  <c r="AK33" i="1"/>
  <c r="AK17" i="1"/>
  <c r="G16" i="1"/>
  <c r="I16" i="1" s="1"/>
  <c r="G63" i="1"/>
  <c r="G47" i="1"/>
  <c r="I47" i="1" s="1"/>
  <c r="G31" i="1"/>
  <c r="I31" i="1" s="1"/>
  <c r="Q42" i="1"/>
  <c r="S42" i="1" s="1"/>
  <c r="Q26" i="1"/>
  <c r="S26" i="1" s="1"/>
  <c r="Q10" i="1"/>
  <c r="S10" i="1" s="1"/>
  <c r="Q54" i="1"/>
  <c r="S54" i="1" s="1"/>
  <c r="Q38" i="1"/>
  <c r="S38" i="1" s="1"/>
  <c r="Q22" i="1"/>
  <c r="S22" i="1" s="1"/>
  <c r="Q6" i="1"/>
  <c r="S6" i="1" s="1"/>
  <c r="G10" i="1"/>
  <c r="I10" i="1" s="1"/>
</calcChain>
</file>

<file path=xl/sharedStrings.xml><?xml version="1.0" encoding="utf-8"?>
<sst xmlns="http://schemas.openxmlformats.org/spreadsheetml/2006/main" count="861" uniqueCount="150">
  <si>
    <t>L%</t>
  </si>
  <si>
    <t>Pmax</t>
  </si>
  <si>
    <t>A1</t>
  </si>
  <si>
    <t>A3</t>
  </si>
  <si>
    <t>A7</t>
  </si>
  <si>
    <t>A11</t>
  </si>
  <si>
    <t>A13</t>
  </si>
  <si>
    <t>A15</t>
  </si>
  <si>
    <t>B5</t>
  </si>
  <si>
    <t>B10</t>
  </si>
  <si>
    <t>C1</t>
  </si>
  <si>
    <t>C3</t>
  </si>
  <si>
    <t>C5</t>
  </si>
  <si>
    <t>C7</t>
  </si>
  <si>
    <t>C9</t>
  </si>
  <si>
    <t>C11</t>
  </si>
  <si>
    <t>C13</t>
  </si>
  <si>
    <t>C15</t>
  </si>
  <si>
    <t>D8</t>
  </si>
  <si>
    <t>D10</t>
  </si>
  <si>
    <t>E1</t>
  </si>
  <si>
    <t>E3</t>
  </si>
  <si>
    <t>E5</t>
  </si>
  <si>
    <t>E11</t>
  </si>
  <si>
    <t>E13</t>
  </si>
  <si>
    <t>E15</t>
  </si>
  <si>
    <t>F5</t>
  </si>
  <si>
    <t>F7</t>
  </si>
  <si>
    <t>F9</t>
  </si>
  <si>
    <t>G1</t>
  </si>
  <si>
    <t>G3</t>
  </si>
  <si>
    <t>G7</t>
  </si>
  <si>
    <t>G11</t>
  </si>
  <si>
    <t>G12</t>
  </si>
  <si>
    <t>G15</t>
  </si>
  <si>
    <t>H6</t>
  </si>
  <si>
    <t>H9</t>
  </si>
  <si>
    <t>I3</t>
  </si>
  <si>
    <t>I5</t>
  </si>
  <si>
    <t>I8</t>
  </si>
  <si>
    <t>I12</t>
  </si>
  <si>
    <t>I15</t>
  </si>
  <si>
    <t>J10</t>
  </si>
  <si>
    <t>J1</t>
  </si>
  <si>
    <t>K1</t>
  </si>
  <si>
    <t>K6</t>
  </si>
  <si>
    <t>K8</t>
  </si>
  <si>
    <t>K10</t>
  </si>
  <si>
    <t>K12</t>
  </si>
  <si>
    <t>L3</t>
  </si>
  <si>
    <t>L9</t>
  </si>
  <si>
    <t>M1</t>
  </si>
  <si>
    <t>M3</t>
  </si>
  <si>
    <t>M5</t>
  </si>
  <si>
    <t>M7</t>
  </si>
  <si>
    <t>M10</t>
  </si>
  <si>
    <t>M12</t>
  </si>
  <si>
    <t>N14</t>
  </si>
  <si>
    <t>O1</t>
  </si>
  <si>
    <t>O3</t>
  </si>
  <si>
    <t>O6</t>
  </si>
  <si>
    <t>O8</t>
  </si>
  <si>
    <t>O10</t>
  </si>
  <si>
    <t>O12</t>
  </si>
  <si>
    <t>X  (um)</t>
  </si>
  <si>
    <t>Y (um)</t>
  </si>
  <si>
    <t>Sample A</t>
  </si>
  <si>
    <t>Electrode Points</t>
  </si>
  <si>
    <t>X (um)</t>
  </si>
  <si>
    <t>Sample B</t>
  </si>
  <si>
    <t xml:space="preserve">  Electrode Points</t>
  </si>
  <si>
    <t>A5</t>
  </si>
  <si>
    <t>B9</t>
  </si>
  <si>
    <t>B14</t>
  </si>
  <si>
    <t>E2</t>
  </si>
  <si>
    <t>E7</t>
  </si>
  <si>
    <t>F2</t>
  </si>
  <si>
    <t>F14</t>
  </si>
  <si>
    <t>G10</t>
  </si>
  <si>
    <t>H5</t>
  </si>
  <si>
    <t>H13</t>
  </si>
  <si>
    <t>I1</t>
  </si>
  <si>
    <t>I7</t>
  </si>
  <si>
    <t>I9</t>
  </si>
  <si>
    <t>I11</t>
  </si>
  <si>
    <t>I13</t>
  </si>
  <si>
    <t>K4</t>
  </si>
  <si>
    <t>K5</t>
  </si>
  <si>
    <t>K7</t>
  </si>
  <si>
    <t>K9</t>
  </si>
  <si>
    <t>K15</t>
  </si>
  <si>
    <t>L11</t>
  </si>
  <si>
    <t>L14</t>
  </si>
  <si>
    <t>M9</t>
  </si>
  <si>
    <t>M15</t>
  </si>
  <si>
    <t>N7</t>
  </si>
  <si>
    <t>N11</t>
  </si>
  <si>
    <t>O5</t>
  </si>
  <si>
    <t>O7</t>
  </si>
  <si>
    <t>O9</t>
  </si>
  <si>
    <t>O14</t>
  </si>
  <si>
    <t>D5</t>
  </si>
  <si>
    <t>Sample C</t>
  </si>
  <si>
    <t>Sample D</t>
  </si>
  <si>
    <t>D3</t>
  </si>
  <si>
    <t>D7</t>
  </si>
  <si>
    <t>D12</t>
  </si>
  <si>
    <t>E10</t>
  </si>
  <si>
    <t>F4</t>
  </si>
  <si>
    <t>F10</t>
  </si>
  <si>
    <t>F12</t>
  </si>
  <si>
    <t>G5</t>
  </si>
  <si>
    <t>G9</t>
  </si>
  <si>
    <t>G13</t>
  </si>
  <si>
    <t>H3</t>
  </si>
  <si>
    <t>H7</t>
  </si>
  <si>
    <t>H15</t>
  </si>
  <si>
    <t>K3</t>
  </si>
  <si>
    <t>K11</t>
  </si>
  <si>
    <t>K13</t>
  </si>
  <si>
    <t>L7</t>
  </si>
  <si>
    <t>M6</t>
  </si>
  <si>
    <t>M13</t>
  </si>
  <si>
    <t>N12</t>
  </si>
  <si>
    <t>O4</t>
  </si>
  <si>
    <t>O11</t>
  </si>
  <si>
    <t>O15</t>
  </si>
  <si>
    <t>A9</t>
  </si>
  <si>
    <t>B3</t>
  </si>
  <si>
    <t>B6</t>
  </si>
  <si>
    <t>B12</t>
  </si>
  <si>
    <t>F3</t>
  </si>
  <si>
    <t>F8</t>
  </si>
  <si>
    <t>H1</t>
  </si>
  <si>
    <t>H14</t>
  </si>
  <si>
    <t>J3</t>
  </si>
  <si>
    <t>J8</t>
  </si>
  <si>
    <t>J11</t>
  </si>
  <si>
    <t>L1</t>
  </si>
  <si>
    <t>N4</t>
  </si>
  <si>
    <t>N9</t>
  </si>
  <si>
    <t>N15</t>
  </si>
  <si>
    <t>O13</t>
  </si>
  <si>
    <t>D6</t>
  </si>
  <si>
    <t>D15</t>
  </si>
  <si>
    <t>X/2</t>
  </si>
  <si>
    <t>Y/2</t>
  </si>
  <si>
    <t>Area (cm2)</t>
  </si>
  <si>
    <t>True Pmax</t>
  </si>
  <si>
    <t>Measured 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</si>
</sst>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3DA-EC02-4D90-B1AA-DDE3F4DBD2D3}">
  <dimension ref="A1:AM66"/>
  <sheetViews>
    <sheetView tabSelected="1" topLeftCell="B1" zoomScale="91" workbookViewId="0">
      <selection activeCell="AK24" sqref="AK24"/>
    </sheetView>
  </sheetViews>
  <sheetFormatPr baseColWidth="10" defaultColWidth="8.83203125" defaultRowHeight="15" x14ac:dyDescent="0.2"/>
  <cols>
    <col min="1" max="1" width="13.6640625" style="1" customWidth="1"/>
    <col min="2" max="6" width="8.83203125" style="1"/>
    <col min="7" max="7" width="10.33203125" customWidth="1"/>
    <col min="8" max="8" width="20.1640625" customWidth="1"/>
    <col min="9" max="9" width="10.1640625" customWidth="1"/>
    <col min="11" max="11" width="14.6640625" style="1" bestFit="1" customWidth="1"/>
    <col min="12" max="16" width="8.83203125" style="1"/>
    <col min="18" max="18" width="16" customWidth="1"/>
    <col min="21" max="21" width="14.6640625" style="1" bestFit="1" customWidth="1"/>
    <col min="22" max="25" width="8.83203125" style="4"/>
    <col min="26" max="26" width="8.83203125" style="1"/>
    <col min="28" max="28" width="16.6640625" customWidth="1"/>
    <col min="31" max="31" width="14.6640625" style="1" bestFit="1" customWidth="1"/>
    <col min="32" max="35" width="8.83203125" style="4"/>
    <col min="36" max="36" width="8.83203125" style="1"/>
    <col min="38" max="38" width="17.33203125" customWidth="1"/>
  </cols>
  <sheetData>
    <row r="1" spans="1:39" x14ac:dyDescent="0.2">
      <c r="A1" s="12" t="s">
        <v>66</v>
      </c>
      <c r="B1" s="12"/>
      <c r="C1" s="12"/>
      <c r="D1" s="12"/>
      <c r="E1" s="12"/>
      <c r="F1" s="12"/>
      <c r="G1" s="12"/>
      <c r="H1" s="1"/>
      <c r="I1" s="1"/>
      <c r="K1" s="12" t="s">
        <v>69</v>
      </c>
      <c r="L1" s="12"/>
      <c r="M1" s="12"/>
      <c r="N1" s="12"/>
      <c r="O1" s="12"/>
      <c r="P1" s="12"/>
      <c r="Q1" s="12"/>
      <c r="R1" s="12"/>
      <c r="S1" s="12"/>
      <c r="U1" s="12" t="s">
        <v>102</v>
      </c>
      <c r="V1" s="12"/>
      <c r="W1" s="12"/>
      <c r="X1" s="12"/>
      <c r="Y1" s="12"/>
      <c r="Z1" s="12"/>
      <c r="AA1" s="12"/>
      <c r="AB1" s="12"/>
      <c r="AC1" s="12"/>
      <c r="AE1" s="12" t="s">
        <v>103</v>
      </c>
      <c r="AF1" s="12"/>
      <c r="AG1" s="12"/>
      <c r="AH1" s="12"/>
      <c r="AI1" s="12"/>
      <c r="AJ1" s="12"/>
      <c r="AK1" s="12"/>
      <c r="AL1" s="12"/>
      <c r="AM1" s="12"/>
    </row>
    <row r="2" spans="1:39" x14ac:dyDescent="0.2">
      <c r="A2" s="2" t="s">
        <v>67</v>
      </c>
      <c r="B2" s="2" t="s">
        <v>64</v>
      </c>
      <c r="C2" s="2" t="s">
        <v>145</v>
      </c>
      <c r="D2" s="2" t="s">
        <v>65</v>
      </c>
      <c r="E2" s="2" t="s">
        <v>146</v>
      </c>
      <c r="F2" s="2" t="s">
        <v>0</v>
      </c>
      <c r="G2" s="2" t="s">
        <v>147</v>
      </c>
      <c r="H2" s="2" t="s">
        <v>149</v>
      </c>
      <c r="I2" s="2" t="s">
        <v>148</v>
      </c>
      <c r="K2" s="2" t="s">
        <v>70</v>
      </c>
      <c r="L2" s="2" t="s">
        <v>68</v>
      </c>
      <c r="M2" s="2" t="s">
        <v>145</v>
      </c>
      <c r="N2" s="2" t="s">
        <v>65</v>
      </c>
      <c r="O2" s="2" t="s">
        <v>146</v>
      </c>
      <c r="P2" s="2" t="s">
        <v>0</v>
      </c>
      <c r="Q2" s="2" t="s">
        <v>147</v>
      </c>
      <c r="R2" s="2" t="s">
        <v>149</v>
      </c>
      <c r="S2" s="2" t="s">
        <v>1</v>
      </c>
      <c r="U2" s="2" t="s">
        <v>70</v>
      </c>
      <c r="V2" s="5" t="s">
        <v>68</v>
      </c>
      <c r="W2" s="5" t="s">
        <v>145</v>
      </c>
      <c r="X2" s="5" t="s">
        <v>65</v>
      </c>
      <c r="Y2" s="5" t="s">
        <v>146</v>
      </c>
      <c r="Z2" s="2" t="s">
        <v>0</v>
      </c>
      <c r="AA2" s="2" t="s">
        <v>147</v>
      </c>
      <c r="AB2" s="2" t="s">
        <v>149</v>
      </c>
      <c r="AC2" s="2" t="s">
        <v>1</v>
      </c>
      <c r="AE2" s="2" t="s">
        <v>70</v>
      </c>
      <c r="AF2" s="5" t="s">
        <v>64</v>
      </c>
      <c r="AG2" s="5" t="s">
        <v>145</v>
      </c>
      <c r="AH2" s="5" t="s">
        <v>65</v>
      </c>
      <c r="AI2" s="5" t="s">
        <v>146</v>
      </c>
      <c r="AJ2" s="2" t="s">
        <v>0</v>
      </c>
      <c r="AK2" s="2" t="s">
        <v>147</v>
      </c>
      <c r="AL2" s="2" t="s">
        <v>149</v>
      </c>
      <c r="AM2" s="2" t="s">
        <v>1</v>
      </c>
    </row>
    <row r="3" spans="1:39" x14ac:dyDescent="0.2">
      <c r="A3" s="1" t="s">
        <v>2</v>
      </c>
      <c r="B3" s="1">
        <v>260</v>
      </c>
      <c r="C3" s="1">
        <f>B3/2</f>
        <v>130</v>
      </c>
      <c r="D3" s="1">
        <v>300</v>
      </c>
      <c r="E3" s="1">
        <f>D3/2</f>
        <v>150</v>
      </c>
      <c r="F3" s="1">
        <v>10</v>
      </c>
      <c r="G3">
        <f>PI()*C3*E3*(1-F3/100)/100000000</f>
        <v>5.5134951070500869E-4</v>
      </c>
      <c r="H3">
        <v>54.386335000000003</v>
      </c>
      <c r="I3">
        <f>H3 * ((0.0001)/G3)</f>
        <v>9.8642211417683825</v>
      </c>
      <c r="K3" s="1" t="s">
        <v>2</v>
      </c>
      <c r="L3" s="1">
        <v>240</v>
      </c>
      <c r="M3" s="1">
        <f>L3/2</f>
        <v>120</v>
      </c>
      <c r="N3" s="1">
        <v>240</v>
      </c>
      <c r="O3" s="1">
        <f>N3/2</f>
        <v>120</v>
      </c>
      <c r="P3" s="1">
        <v>1</v>
      </c>
      <c r="Q3">
        <f>PI()*M3*O3*(1-P3/100)/100000000</f>
        <v>4.4786544869576087E-4</v>
      </c>
      <c r="R3">
        <v>39.743707000000001</v>
      </c>
      <c r="S3">
        <f xml:space="preserve"> R3 * 0.0001/Q3</f>
        <v>8.8740283752047748</v>
      </c>
      <c r="U3" s="7" t="s">
        <v>2</v>
      </c>
      <c r="V3" s="4">
        <v>240</v>
      </c>
      <c r="W3" s="4">
        <f>V3/2</f>
        <v>120</v>
      </c>
      <c r="X3" s="4">
        <v>240</v>
      </c>
      <c r="Y3" s="4">
        <f>X3/2</f>
        <v>120</v>
      </c>
      <c r="Z3" s="1">
        <v>10</v>
      </c>
      <c r="AA3">
        <f>PI()*W3*Y3*(1-Z3/100)/100000000</f>
        <v>4.0715040790523721E-4</v>
      </c>
      <c r="AE3" s="1" t="s">
        <v>2</v>
      </c>
      <c r="AF3" s="4">
        <v>260</v>
      </c>
      <c r="AG3" s="4">
        <f>AF3/2</f>
        <v>130</v>
      </c>
      <c r="AH3" s="4">
        <v>300</v>
      </c>
      <c r="AI3" s="4">
        <f>AH3/2</f>
        <v>150</v>
      </c>
      <c r="AJ3" s="1">
        <v>8</v>
      </c>
      <c r="AK3">
        <f>PI()*AG3*AI3*(1-AJ3/100)/100000000</f>
        <v>5.6360172205400887E-4</v>
      </c>
      <c r="AL3">
        <v>87.221806999999998</v>
      </c>
      <c r="AM3">
        <f>AL3 * 0.0001/AK3</f>
        <v>15.475787881223278</v>
      </c>
    </row>
    <row r="4" spans="1:39" x14ac:dyDescent="0.2">
      <c r="A4" s="1" t="s">
        <v>3</v>
      </c>
      <c r="B4" s="1">
        <v>280</v>
      </c>
      <c r="C4" s="1">
        <f t="shared" ref="C4:C64" si="0">B4/2</f>
        <v>140</v>
      </c>
      <c r="D4" s="1">
        <v>300</v>
      </c>
      <c r="E4" s="1">
        <f t="shared" ref="E4:E64" si="1">D4/2</f>
        <v>150</v>
      </c>
      <c r="F4" s="1">
        <v>4</v>
      </c>
      <c r="G4">
        <f t="shared" ref="G4:G64" si="2">PI()*C4*E4*(1-F4/100)/100000000</f>
        <v>6.3334507896370222E-4</v>
      </c>
      <c r="H4">
        <v>58.175431000000003</v>
      </c>
      <c r="I4">
        <f t="shared" ref="I4:I59" si="3">H4 * ((0.0001)/G4)</f>
        <v>9.1854240180074278</v>
      </c>
      <c r="K4" s="1" t="s">
        <v>3</v>
      </c>
      <c r="L4" s="1">
        <v>240</v>
      </c>
      <c r="M4" s="1">
        <f t="shared" ref="M4:M63" si="4">L4/2</f>
        <v>120</v>
      </c>
      <c r="N4" s="1">
        <v>240</v>
      </c>
      <c r="O4" s="1">
        <f t="shared" ref="O4:O63" si="5">N4/2</f>
        <v>120</v>
      </c>
      <c r="P4" s="1">
        <v>0</v>
      </c>
      <c r="Q4">
        <f t="shared" ref="Q4:Q63" si="6">PI()*M4*O4*(1-P4/100)/100000000</f>
        <v>4.523893421169302E-4</v>
      </c>
      <c r="R4">
        <v>38.265619999999998</v>
      </c>
      <c r="S4">
        <f t="shared" ref="S4:S63" si="7" xml:space="preserve"> R4 * 0.0001/Q4</f>
        <v>8.4585591298279059</v>
      </c>
      <c r="U4" s="1" t="s">
        <v>3</v>
      </c>
      <c r="V4" s="4">
        <v>240</v>
      </c>
      <c r="W4" s="4">
        <f t="shared" ref="W4:W66" si="8">V4/2</f>
        <v>120</v>
      </c>
      <c r="X4" s="4">
        <v>240</v>
      </c>
      <c r="Y4" s="4">
        <f t="shared" ref="Y4:Y66" si="9">X4/2</f>
        <v>120</v>
      </c>
      <c r="Z4" s="1">
        <v>8</v>
      </c>
      <c r="AA4">
        <f t="shared" ref="AA4:AA66" si="10">PI()*W4*Y4*(1-Z4/100)/100000000</f>
        <v>4.1619819474757582E-4</v>
      </c>
      <c r="AB4">
        <v>122.406559</v>
      </c>
      <c r="AC4">
        <f t="shared" ref="AC4:AC66" si="11">AB4* 0.0001/AA4</f>
        <v>29.410641503200075</v>
      </c>
      <c r="AE4" s="1" t="s">
        <v>4</v>
      </c>
      <c r="AF4" s="4">
        <v>280</v>
      </c>
      <c r="AG4" s="4">
        <f t="shared" ref="AG4:AG62" si="12">AF4/2</f>
        <v>140</v>
      </c>
      <c r="AH4" s="4">
        <v>300</v>
      </c>
      <c r="AI4" s="4">
        <f t="shared" ref="AI4:AI62" si="13">AH4/2</f>
        <v>150</v>
      </c>
      <c r="AJ4" s="1">
        <v>15</v>
      </c>
      <c r="AK4">
        <f t="shared" ref="AK4:AK62" si="14">PI()*AG4*AI4*(1-AJ4/100)/100000000</f>
        <v>5.6077428866577802E-4</v>
      </c>
      <c r="AL4">
        <v>67.895197999999993</v>
      </c>
      <c r="AM4">
        <f t="shared" ref="AM4:AM61" si="15">AL4 * 0.0001/AK4</f>
        <v>12.107402099611168</v>
      </c>
    </row>
    <row r="5" spans="1:39" x14ac:dyDescent="0.2">
      <c r="A5" s="1" t="s">
        <v>4</v>
      </c>
      <c r="B5" s="1">
        <v>290</v>
      </c>
      <c r="C5" s="1">
        <f t="shared" si="0"/>
        <v>145</v>
      </c>
      <c r="D5" s="1">
        <v>300</v>
      </c>
      <c r="E5" s="1">
        <f t="shared" si="1"/>
        <v>150</v>
      </c>
      <c r="F5" s="1">
        <v>1</v>
      </c>
      <c r="G5">
        <f t="shared" si="2"/>
        <v>6.7646343813422213E-4</v>
      </c>
      <c r="H5">
        <v>64.975234999999998</v>
      </c>
      <c r="I5">
        <f t="shared" si="3"/>
        <v>9.6051362626796966</v>
      </c>
      <c r="K5" s="1" t="s">
        <v>71</v>
      </c>
      <c r="L5" s="1">
        <v>240</v>
      </c>
      <c r="M5" s="1">
        <f t="shared" si="4"/>
        <v>120</v>
      </c>
      <c r="N5" s="1">
        <v>240</v>
      </c>
      <c r="O5" s="1">
        <f t="shared" si="5"/>
        <v>120</v>
      </c>
      <c r="P5" s="1">
        <v>1</v>
      </c>
      <c r="Q5">
        <f t="shared" si="6"/>
        <v>4.4786544869576087E-4</v>
      </c>
      <c r="R5">
        <v>35.248724000000003</v>
      </c>
      <c r="S5">
        <f t="shared" si="7"/>
        <v>7.8703825228422097</v>
      </c>
      <c r="U5" s="1" t="s">
        <v>71</v>
      </c>
      <c r="V5" s="4">
        <v>240</v>
      </c>
      <c r="W5" s="4">
        <f t="shared" si="8"/>
        <v>120</v>
      </c>
      <c r="X5" s="4">
        <v>240</v>
      </c>
      <c r="Y5" s="4">
        <f t="shared" si="9"/>
        <v>120</v>
      </c>
      <c r="Z5" s="3">
        <v>50</v>
      </c>
      <c r="AA5">
        <f t="shared" si="10"/>
        <v>2.261946710584651E-4</v>
      </c>
      <c r="AB5">
        <v>92.069591000000003</v>
      </c>
      <c r="AC5">
        <f t="shared" si="11"/>
        <v>40.703695878053004</v>
      </c>
      <c r="AE5" s="1" t="s">
        <v>127</v>
      </c>
      <c r="AF5" s="4">
        <v>290</v>
      </c>
      <c r="AG5" s="4">
        <f t="shared" si="12"/>
        <v>145</v>
      </c>
      <c r="AH5" s="4">
        <v>300</v>
      </c>
      <c r="AI5" s="4">
        <f t="shared" si="13"/>
        <v>150</v>
      </c>
      <c r="AJ5" s="1">
        <v>9</v>
      </c>
      <c r="AK5">
        <f t="shared" si="14"/>
        <v>6.2179972596175981E-4</v>
      </c>
      <c r="AL5">
        <v>62.896172999999997</v>
      </c>
      <c r="AM5">
        <f t="shared" si="15"/>
        <v>10.115181846166987</v>
      </c>
    </row>
    <row r="6" spans="1:39" x14ac:dyDescent="0.2">
      <c r="A6" s="1" t="s">
        <v>5</v>
      </c>
      <c r="B6" s="4">
        <v>277</v>
      </c>
      <c r="C6" s="1">
        <f t="shared" si="0"/>
        <v>138.5</v>
      </c>
      <c r="D6" s="4">
        <v>300</v>
      </c>
      <c r="E6" s="1">
        <f t="shared" si="1"/>
        <v>150</v>
      </c>
      <c r="F6" s="1">
        <v>30</v>
      </c>
      <c r="G6">
        <f t="shared" si="2"/>
        <v>4.5686611164829564E-4</v>
      </c>
      <c r="H6">
        <v>66.574359000000001</v>
      </c>
      <c r="I6">
        <f t="shared" si="3"/>
        <v>14.571962617190183</v>
      </c>
      <c r="K6" s="1" t="s">
        <v>4</v>
      </c>
      <c r="L6" s="4">
        <v>238</v>
      </c>
      <c r="M6" s="1">
        <f t="shared" si="4"/>
        <v>119</v>
      </c>
      <c r="N6" s="4">
        <v>238</v>
      </c>
      <c r="O6" s="1">
        <f t="shared" si="5"/>
        <v>119</v>
      </c>
      <c r="P6" s="1">
        <v>3</v>
      </c>
      <c r="Q6">
        <f t="shared" si="6"/>
        <v>4.3153450760460502E-4</v>
      </c>
      <c r="R6">
        <v>39.703082000000002</v>
      </c>
      <c r="S6">
        <f t="shared" si="7"/>
        <v>9.200441980963916</v>
      </c>
      <c r="U6" s="1" t="s">
        <v>4</v>
      </c>
      <c r="V6" s="4">
        <v>238</v>
      </c>
      <c r="W6" s="4">
        <f t="shared" si="8"/>
        <v>119</v>
      </c>
      <c r="X6" s="4">
        <v>238</v>
      </c>
      <c r="Y6" s="4">
        <f t="shared" si="9"/>
        <v>119</v>
      </c>
      <c r="Z6" s="3">
        <v>10</v>
      </c>
      <c r="AA6">
        <f t="shared" si="10"/>
        <v>4.0039284210736551E-4</v>
      </c>
      <c r="AB6">
        <v>91.678381000000002</v>
      </c>
      <c r="AC6">
        <f t="shared" si="11"/>
        <v>22.89710787971989</v>
      </c>
      <c r="AE6" s="1" t="s">
        <v>6</v>
      </c>
      <c r="AF6" s="4">
        <v>277</v>
      </c>
      <c r="AG6" s="4">
        <f t="shared" si="12"/>
        <v>138.5</v>
      </c>
      <c r="AH6" s="4">
        <v>300</v>
      </c>
      <c r="AI6" s="4">
        <f t="shared" si="13"/>
        <v>150</v>
      </c>
      <c r="AJ6" s="1">
        <v>2</v>
      </c>
      <c r="AK6">
        <f t="shared" si="14"/>
        <v>6.3961255630761392E-4</v>
      </c>
      <c r="AL6">
        <v>53.390158999999997</v>
      </c>
      <c r="AM6">
        <f t="shared" si="15"/>
        <v>8.3472656178317184</v>
      </c>
    </row>
    <row r="7" spans="1:39" x14ac:dyDescent="0.2">
      <c r="A7" s="1" t="s">
        <v>6</v>
      </c>
      <c r="B7" s="4">
        <v>277</v>
      </c>
      <c r="C7" s="1">
        <f t="shared" si="0"/>
        <v>138.5</v>
      </c>
      <c r="D7" s="4">
        <v>300</v>
      </c>
      <c r="E7" s="1">
        <f t="shared" si="1"/>
        <v>150</v>
      </c>
      <c r="F7" s="1">
        <v>20</v>
      </c>
      <c r="G7">
        <f t="shared" si="2"/>
        <v>5.2213269902662372E-4</v>
      </c>
      <c r="H7">
        <v>60.294823999999998</v>
      </c>
      <c r="I7">
        <f t="shared" si="3"/>
        <v>11.547796970464313</v>
      </c>
      <c r="K7" s="1" t="s">
        <v>5</v>
      </c>
      <c r="L7" s="1">
        <v>230</v>
      </c>
      <c r="M7" s="1">
        <f t="shared" si="4"/>
        <v>115</v>
      </c>
      <c r="N7" s="1">
        <v>230</v>
      </c>
      <c r="O7" s="1">
        <f t="shared" si="5"/>
        <v>115</v>
      </c>
      <c r="P7" s="1">
        <v>1</v>
      </c>
      <c r="Q7">
        <f t="shared" si="6"/>
        <v>4.1132087215287771E-4</v>
      </c>
      <c r="R7">
        <v>39.679135000000002</v>
      </c>
      <c r="S7">
        <f t="shared" si="7"/>
        <v>9.6467594246596509</v>
      </c>
      <c r="U7" s="1" t="s">
        <v>5</v>
      </c>
      <c r="V7" s="4">
        <v>230</v>
      </c>
      <c r="W7" s="4">
        <f t="shared" si="8"/>
        <v>115</v>
      </c>
      <c r="X7" s="4">
        <v>230</v>
      </c>
      <c r="Y7" s="4">
        <f t="shared" si="9"/>
        <v>115</v>
      </c>
      <c r="Z7" s="1">
        <v>6</v>
      </c>
      <c r="AA7">
        <f t="shared" si="10"/>
        <v>3.9054709073101519E-4</v>
      </c>
      <c r="AB7">
        <v>63.579782999999999</v>
      </c>
      <c r="AC7">
        <f t="shared" si="11"/>
        <v>16.279671391481404</v>
      </c>
      <c r="AE7" s="1" t="s">
        <v>128</v>
      </c>
      <c r="AF7" s="4">
        <v>277</v>
      </c>
      <c r="AG7" s="4">
        <f t="shared" si="12"/>
        <v>138.5</v>
      </c>
      <c r="AH7" s="4">
        <v>300</v>
      </c>
      <c r="AI7" s="4">
        <f t="shared" si="13"/>
        <v>150</v>
      </c>
      <c r="AJ7" s="3">
        <v>35</v>
      </c>
      <c r="AK7">
        <f t="shared" si="14"/>
        <v>4.2423281795913171E-4</v>
      </c>
      <c r="AL7">
        <v>67.550368000000006</v>
      </c>
      <c r="AM7">
        <f t="shared" si="15"/>
        <v>15.922947292235992</v>
      </c>
    </row>
    <row r="8" spans="1:39" x14ac:dyDescent="0.2">
      <c r="A8" s="1" t="s">
        <v>7</v>
      </c>
      <c r="B8" s="4">
        <v>277</v>
      </c>
      <c r="C8" s="1">
        <f t="shared" si="0"/>
        <v>138.5</v>
      </c>
      <c r="D8" s="4">
        <v>300</v>
      </c>
      <c r="E8" s="1">
        <f t="shared" si="1"/>
        <v>150</v>
      </c>
      <c r="F8" s="1">
        <v>50</v>
      </c>
      <c r="G8">
        <f t="shared" si="2"/>
        <v>3.2633293689163977E-4</v>
      </c>
      <c r="H8">
        <v>65.108327000000003</v>
      </c>
      <c r="I8">
        <f t="shared" si="3"/>
        <v>19.951503400228184</v>
      </c>
      <c r="K8" s="1" t="s">
        <v>7</v>
      </c>
      <c r="L8" s="1">
        <v>240</v>
      </c>
      <c r="M8" s="1">
        <f t="shared" si="4"/>
        <v>120</v>
      </c>
      <c r="N8" s="1">
        <v>260</v>
      </c>
      <c r="O8" s="1">
        <f t="shared" si="5"/>
        <v>130</v>
      </c>
      <c r="P8" s="1">
        <v>1</v>
      </c>
      <c r="Q8">
        <f t="shared" si="6"/>
        <v>4.8518756942040762E-4</v>
      </c>
      <c r="R8">
        <v>49.363993000000001</v>
      </c>
      <c r="S8">
        <f t="shared" si="7"/>
        <v>10.174208102439422</v>
      </c>
      <c r="U8" s="1" t="s">
        <v>6</v>
      </c>
      <c r="V8" s="4">
        <v>240</v>
      </c>
      <c r="W8" s="4">
        <f t="shared" si="8"/>
        <v>120</v>
      </c>
      <c r="X8" s="4">
        <v>260</v>
      </c>
      <c r="Y8" s="4">
        <f t="shared" si="9"/>
        <v>130</v>
      </c>
      <c r="Z8" s="1">
        <v>3</v>
      </c>
      <c r="AA8">
        <f t="shared" si="10"/>
        <v>4.7538580034120741E-4</v>
      </c>
      <c r="AB8">
        <v>48.814608999999997</v>
      </c>
      <c r="AC8">
        <f t="shared" si="11"/>
        <v>10.268419663558186</v>
      </c>
      <c r="AE8" s="1" t="s">
        <v>129</v>
      </c>
      <c r="AF8" s="4">
        <v>277</v>
      </c>
      <c r="AG8" s="4">
        <f t="shared" si="12"/>
        <v>138.5</v>
      </c>
      <c r="AH8" s="4">
        <v>300</v>
      </c>
      <c r="AI8" s="4">
        <f t="shared" si="13"/>
        <v>150</v>
      </c>
      <c r="AJ8" s="3">
        <v>80</v>
      </c>
      <c r="AK8">
        <f t="shared" si="14"/>
        <v>1.3053317475665587E-4</v>
      </c>
      <c r="AL8">
        <v>66.598557</v>
      </c>
      <c r="AM8">
        <f t="shared" si="15"/>
        <v>51.020406976353073</v>
      </c>
    </row>
    <row r="9" spans="1:39" x14ac:dyDescent="0.2">
      <c r="A9" s="1" t="s">
        <v>8</v>
      </c>
      <c r="B9" s="4">
        <v>277</v>
      </c>
      <c r="C9" s="1">
        <f t="shared" si="0"/>
        <v>138.5</v>
      </c>
      <c r="D9" s="4">
        <v>300</v>
      </c>
      <c r="E9" s="1">
        <f t="shared" si="1"/>
        <v>150</v>
      </c>
      <c r="F9" s="1">
        <v>10</v>
      </c>
      <c r="G9">
        <f t="shared" si="2"/>
        <v>5.8739928640495157E-4</v>
      </c>
      <c r="H9">
        <v>73.267285999999999</v>
      </c>
      <c r="I9">
        <f t="shared" si="3"/>
        <v>12.47316564655983</v>
      </c>
      <c r="K9" s="1" t="s">
        <v>72</v>
      </c>
      <c r="L9" s="4">
        <v>240</v>
      </c>
      <c r="M9" s="1">
        <f t="shared" si="4"/>
        <v>120</v>
      </c>
      <c r="N9" s="4">
        <v>240</v>
      </c>
      <c r="O9" s="1">
        <f t="shared" si="5"/>
        <v>120</v>
      </c>
      <c r="P9" s="1">
        <v>0</v>
      </c>
      <c r="Q9">
        <f t="shared" si="6"/>
        <v>4.523893421169302E-4</v>
      </c>
      <c r="R9" s="6">
        <v>40.013109999999998</v>
      </c>
      <c r="S9">
        <f t="shared" si="7"/>
        <v>8.8448392291385396</v>
      </c>
      <c r="U9" s="1" t="s">
        <v>7</v>
      </c>
      <c r="V9" s="4">
        <v>240</v>
      </c>
      <c r="W9" s="4">
        <f t="shared" si="8"/>
        <v>120</v>
      </c>
      <c r="X9" s="4">
        <v>240</v>
      </c>
      <c r="Y9" s="4">
        <f t="shared" si="9"/>
        <v>120</v>
      </c>
      <c r="Z9" s="1">
        <v>1</v>
      </c>
      <c r="AA9">
        <f t="shared" si="10"/>
        <v>4.4786544869576087E-4</v>
      </c>
      <c r="AB9">
        <v>38.232906999999997</v>
      </c>
      <c r="AC9">
        <f t="shared" si="11"/>
        <v>8.5366949183820537</v>
      </c>
      <c r="AE9" s="1" t="s">
        <v>130</v>
      </c>
      <c r="AF9" s="4">
        <v>277</v>
      </c>
      <c r="AG9" s="4">
        <f t="shared" si="12"/>
        <v>138.5</v>
      </c>
      <c r="AH9" s="4">
        <v>300</v>
      </c>
      <c r="AI9" s="4">
        <f t="shared" si="13"/>
        <v>150</v>
      </c>
      <c r="AJ9" s="1">
        <v>1</v>
      </c>
      <c r="AK9">
        <f t="shared" si="14"/>
        <v>6.4613921504544673E-4</v>
      </c>
      <c r="AL9">
        <v>55.011465000000001</v>
      </c>
      <c r="AM9">
        <f t="shared" si="15"/>
        <v>8.5138718899967607</v>
      </c>
    </row>
    <row r="10" spans="1:39" x14ac:dyDescent="0.2">
      <c r="A10" s="1" t="s">
        <v>9</v>
      </c>
      <c r="B10" s="4">
        <v>277</v>
      </c>
      <c r="C10" s="1">
        <f t="shared" si="0"/>
        <v>138.5</v>
      </c>
      <c r="D10" s="4">
        <v>300</v>
      </c>
      <c r="E10" s="1">
        <f t="shared" si="1"/>
        <v>150</v>
      </c>
      <c r="F10" s="1">
        <v>30</v>
      </c>
      <c r="G10">
        <f t="shared" si="2"/>
        <v>4.5686611164829564E-4</v>
      </c>
      <c r="H10">
        <v>77.370964000000001</v>
      </c>
      <c r="I10">
        <f t="shared" si="3"/>
        <v>16.935150589492981</v>
      </c>
      <c r="K10" s="1" t="s">
        <v>73</v>
      </c>
      <c r="L10" s="1">
        <v>240</v>
      </c>
      <c r="M10" s="1">
        <f t="shared" si="4"/>
        <v>120</v>
      </c>
      <c r="N10" s="1">
        <v>240</v>
      </c>
      <c r="O10" s="1">
        <f t="shared" si="5"/>
        <v>120</v>
      </c>
      <c r="P10" s="1">
        <v>6</v>
      </c>
      <c r="Q10">
        <f t="shared" si="6"/>
        <v>4.2524598158991437E-4</v>
      </c>
      <c r="R10" s="6">
        <v>44.521560000000001</v>
      </c>
      <c r="S10">
        <f t="shared" si="7"/>
        <v>10.469601578254144</v>
      </c>
      <c r="U10" s="1" t="s">
        <v>72</v>
      </c>
      <c r="V10" s="4">
        <v>240</v>
      </c>
      <c r="W10" s="4">
        <f t="shared" si="8"/>
        <v>120</v>
      </c>
      <c r="X10" s="4">
        <v>240</v>
      </c>
      <c r="Y10" s="4">
        <f t="shared" si="9"/>
        <v>120</v>
      </c>
      <c r="Z10" s="3">
        <v>15</v>
      </c>
      <c r="AA10">
        <f t="shared" si="10"/>
        <v>3.8453094079939066E-4</v>
      </c>
      <c r="AB10">
        <v>66.328339999999997</v>
      </c>
      <c r="AC10">
        <f t="shared" si="11"/>
        <v>17.249155519738377</v>
      </c>
      <c r="AE10" s="1" t="s">
        <v>10</v>
      </c>
      <c r="AF10" s="4">
        <v>277</v>
      </c>
      <c r="AG10" s="4">
        <f t="shared" si="12"/>
        <v>138.5</v>
      </c>
      <c r="AH10" s="4">
        <v>300</v>
      </c>
      <c r="AI10" s="4">
        <f t="shared" si="13"/>
        <v>150</v>
      </c>
      <c r="AJ10" s="3">
        <v>10</v>
      </c>
      <c r="AK10">
        <f t="shared" si="14"/>
        <v>5.8739928640495157E-4</v>
      </c>
      <c r="AL10">
        <v>71.605649</v>
      </c>
      <c r="AM10">
        <f t="shared" si="15"/>
        <v>12.190285323335454</v>
      </c>
    </row>
    <row r="11" spans="1:39" x14ac:dyDescent="0.2">
      <c r="A11" s="1" t="s">
        <v>10</v>
      </c>
      <c r="B11" s="1">
        <v>300</v>
      </c>
      <c r="C11" s="1">
        <f t="shared" si="0"/>
        <v>150</v>
      </c>
      <c r="D11" s="1">
        <v>340</v>
      </c>
      <c r="E11" s="1">
        <f t="shared" si="1"/>
        <v>170</v>
      </c>
      <c r="F11" s="1">
        <v>2</v>
      </c>
      <c r="G11">
        <f t="shared" si="2"/>
        <v>7.8508400413208922E-4</v>
      </c>
      <c r="H11">
        <v>65.148657999999998</v>
      </c>
      <c r="I11">
        <f t="shared" si="3"/>
        <v>8.2983040868374172</v>
      </c>
      <c r="K11" s="1" t="s">
        <v>10</v>
      </c>
      <c r="L11" s="1">
        <v>240</v>
      </c>
      <c r="M11" s="1">
        <f t="shared" si="4"/>
        <v>120</v>
      </c>
      <c r="N11" s="1">
        <v>230</v>
      </c>
      <c r="O11" s="1">
        <f t="shared" si="5"/>
        <v>115</v>
      </c>
      <c r="P11" s="1">
        <v>6</v>
      </c>
      <c r="Q11">
        <f t="shared" si="6"/>
        <v>4.0752739902366787E-4</v>
      </c>
      <c r="R11" s="6">
        <v>45.544870000000003</v>
      </c>
      <c r="S11">
        <f t="shared" si="7"/>
        <v>11.175903781957715</v>
      </c>
      <c r="U11" s="1" t="s">
        <v>10</v>
      </c>
      <c r="V11" s="4">
        <v>240</v>
      </c>
      <c r="W11" s="4">
        <f t="shared" si="8"/>
        <v>120</v>
      </c>
      <c r="X11" s="4">
        <v>230</v>
      </c>
      <c r="Y11" s="4">
        <f t="shared" si="9"/>
        <v>115</v>
      </c>
      <c r="Z11" s="1">
        <v>5</v>
      </c>
      <c r="AA11">
        <f t="shared" si="10"/>
        <v>4.1186279688562187E-4</v>
      </c>
      <c r="AB11">
        <v>125.040173</v>
      </c>
      <c r="AC11">
        <f t="shared" si="11"/>
        <v>30.359666846705949</v>
      </c>
      <c r="AE11" s="1" t="s">
        <v>11</v>
      </c>
      <c r="AF11" s="4">
        <v>300</v>
      </c>
      <c r="AG11" s="4">
        <f t="shared" si="12"/>
        <v>150</v>
      </c>
      <c r="AH11" s="4">
        <v>340</v>
      </c>
      <c r="AI11" s="4">
        <f t="shared" si="13"/>
        <v>170</v>
      </c>
      <c r="AJ11" s="1">
        <v>0</v>
      </c>
      <c r="AK11">
        <f t="shared" si="14"/>
        <v>8.0110612666539713E-4</v>
      </c>
      <c r="AL11">
        <v>68.800629000000001</v>
      </c>
      <c r="AM11">
        <f t="shared" si="15"/>
        <v>8.5882040730836131</v>
      </c>
    </row>
    <row r="12" spans="1:39" x14ac:dyDescent="0.2">
      <c r="A12" s="16" t="s">
        <v>11</v>
      </c>
      <c r="B12" s="4">
        <v>330</v>
      </c>
      <c r="C12" s="1">
        <f t="shared" si="0"/>
        <v>165</v>
      </c>
      <c r="D12" s="4">
        <v>354</v>
      </c>
      <c r="E12" s="1">
        <f t="shared" si="1"/>
        <v>177</v>
      </c>
      <c r="F12" s="1">
        <v>0</v>
      </c>
      <c r="G12">
        <f t="shared" si="2"/>
        <v>9.1750213448089902E-4</v>
      </c>
      <c r="H12">
        <v>83.091914000000003</v>
      </c>
      <c r="I12">
        <f t="shared" si="3"/>
        <v>9.0563183318381544</v>
      </c>
      <c r="K12" s="1" t="s">
        <v>11</v>
      </c>
      <c r="L12" s="4">
        <v>240</v>
      </c>
      <c r="M12" s="1">
        <f t="shared" si="4"/>
        <v>120</v>
      </c>
      <c r="N12" s="4">
        <v>230</v>
      </c>
      <c r="O12" s="1">
        <f t="shared" si="5"/>
        <v>115</v>
      </c>
      <c r="P12" s="1">
        <v>1</v>
      </c>
      <c r="Q12">
        <f t="shared" si="6"/>
        <v>4.2920438833343754E-4</v>
      </c>
      <c r="R12" s="6">
        <v>42.607300000000002</v>
      </c>
      <c r="S12">
        <f t="shared" si="7"/>
        <v>9.9270420242999755</v>
      </c>
      <c r="U12" s="1" t="s">
        <v>12</v>
      </c>
      <c r="V12" s="4">
        <v>240</v>
      </c>
      <c r="W12" s="4">
        <f t="shared" si="8"/>
        <v>120</v>
      </c>
      <c r="X12" s="4">
        <v>230</v>
      </c>
      <c r="Y12" s="4">
        <f t="shared" si="9"/>
        <v>115</v>
      </c>
      <c r="Z12" s="3">
        <v>40</v>
      </c>
      <c r="AA12">
        <f t="shared" si="10"/>
        <v>2.6012387171723482E-4</v>
      </c>
      <c r="AB12">
        <v>85.606550999999996</v>
      </c>
      <c r="AC12">
        <f t="shared" si="11"/>
        <v>32.909917277049367</v>
      </c>
      <c r="AE12" s="1" t="s">
        <v>13</v>
      </c>
      <c r="AF12" s="4">
        <v>330</v>
      </c>
      <c r="AG12" s="4">
        <f t="shared" si="12"/>
        <v>165</v>
      </c>
      <c r="AH12" s="4">
        <v>354</v>
      </c>
      <c r="AI12" s="4">
        <f t="shared" si="13"/>
        <v>177</v>
      </c>
      <c r="AJ12" s="3">
        <v>25</v>
      </c>
      <c r="AK12">
        <f t="shared" si="14"/>
        <v>6.8812660086067421E-4</v>
      </c>
      <c r="AL12">
        <v>67.179322999999997</v>
      </c>
      <c r="AM12">
        <f t="shared" si="15"/>
        <v>9.7626400310604868</v>
      </c>
    </row>
    <row r="13" spans="1:39" x14ac:dyDescent="0.2">
      <c r="A13" s="1" t="s">
        <v>12</v>
      </c>
      <c r="B13" s="4">
        <v>330</v>
      </c>
      <c r="C13" s="1">
        <f t="shared" si="0"/>
        <v>165</v>
      </c>
      <c r="D13" s="4">
        <v>354</v>
      </c>
      <c r="E13" s="1">
        <f t="shared" si="1"/>
        <v>177</v>
      </c>
      <c r="F13" s="1">
        <v>1</v>
      </c>
      <c r="G13">
        <f t="shared" si="2"/>
        <v>9.0832711313608991E-4</v>
      </c>
      <c r="H13">
        <v>86.832612999999995</v>
      </c>
      <c r="I13">
        <f t="shared" si="3"/>
        <v>9.5596191883122081</v>
      </c>
      <c r="K13" s="1" t="s">
        <v>13</v>
      </c>
      <c r="L13" s="4">
        <v>240</v>
      </c>
      <c r="M13" s="1">
        <f t="shared" si="4"/>
        <v>120</v>
      </c>
      <c r="N13" s="4">
        <v>230</v>
      </c>
      <c r="O13" s="1">
        <f t="shared" si="5"/>
        <v>115</v>
      </c>
      <c r="P13" s="1">
        <v>2</v>
      </c>
      <c r="Q13">
        <f t="shared" si="6"/>
        <v>4.2486899047148354E-4</v>
      </c>
      <c r="R13" s="6">
        <v>42.749270000000003</v>
      </c>
      <c r="S13">
        <f t="shared" si="7"/>
        <v>10.06175337780253</v>
      </c>
      <c r="U13" s="1" t="s">
        <v>16</v>
      </c>
      <c r="V13" s="4">
        <v>240</v>
      </c>
      <c r="W13" s="4">
        <f t="shared" si="8"/>
        <v>120</v>
      </c>
      <c r="X13" s="4">
        <v>230</v>
      </c>
      <c r="Y13" s="4">
        <f t="shared" si="9"/>
        <v>115</v>
      </c>
      <c r="Z13" s="1">
        <v>3</v>
      </c>
      <c r="AA13">
        <f t="shared" si="10"/>
        <v>4.2053359260952965E-4</v>
      </c>
      <c r="AB13">
        <v>45.306469999999997</v>
      </c>
      <c r="AC13">
        <f t="shared" si="11"/>
        <v>10.773567390624031</v>
      </c>
      <c r="AE13" s="1" t="s">
        <v>14</v>
      </c>
      <c r="AF13" s="4">
        <v>330</v>
      </c>
      <c r="AG13" s="4">
        <f t="shared" si="12"/>
        <v>165</v>
      </c>
      <c r="AH13" s="4">
        <v>354</v>
      </c>
      <c r="AI13" s="4">
        <f t="shared" si="13"/>
        <v>177</v>
      </c>
      <c r="AJ13" s="3">
        <v>35</v>
      </c>
      <c r="AK13">
        <f t="shared" si="14"/>
        <v>5.9637638741258435E-4</v>
      </c>
      <c r="AL13">
        <v>64.410601</v>
      </c>
      <c r="AM13">
        <f t="shared" si="15"/>
        <v>10.800327169130448</v>
      </c>
    </row>
    <row r="14" spans="1:39" x14ac:dyDescent="0.2">
      <c r="A14" s="1" t="s">
        <v>13</v>
      </c>
      <c r="B14" s="4">
        <v>330</v>
      </c>
      <c r="C14" s="1">
        <f t="shared" si="0"/>
        <v>165</v>
      </c>
      <c r="D14" s="4">
        <v>354</v>
      </c>
      <c r="E14" s="1">
        <f t="shared" si="1"/>
        <v>177</v>
      </c>
      <c r="F14" s="1">
        <v>2</v>
      </c>
      <c r="G14">
        <f t="shared" si="2"/>
        <v>8.9915209179128102E-4</v>
      </c>
      <c r="H14">
        <v>82.688603999999998</v>
      </c>
      <c r="I14">
        <f t="shared" si="3"/>
        <v>9.1962866744010636</v>
      </c>
      <c r="K14" s="1" t="s">
        <v>14</v>
      </c>
      <c r="L14" s="4">
        <v>240</v>
      </c>
      <c r="M14" s="1">
        <f t="shared" si="4"/>
        <v>120</v>
      </c>
      <c r="N14" s="4">
        <v>230</v>
      </c>
      <c r="O14" s="1">
        <f t="shared" si="5"/>
        <v>115</v>
      </c>
      <c r="P14" s="1">
        <v>1</v>
      </c>
      <c r="Q14">
        <f t="shared" si="6"/>
        <v>4.2920438833343754E-4</v>
      </c>
      <c r="R14" s="6">
        <v>39.003059999999998</v>
      </c>
      <c r="S14">
        <f t="shared" si="7"/>
        <v>9.0872929215484994</v>
      </c>
      <c r="U14" s="1" t="s">
        <v>17</v>
      </c>
      <c r="V14" s="4">
        <v>240</v>
      </c>
      <c r="W14" s="4">
        <f t="shared" si="8"/>
        <v>120</v>
      </c>
      <c r="X14" s="4">
        <v>230</v>
      </c>
      <c r="Y14" s="4">
        <f t="shared" si="9"/>
        <v>115</v>
      </c>
      <c r="Z14" s="3">
        <v>40</v>
      </c>
      <c r="AA14">
        <f t="shared" si="10"/>
        <v>2.6012387171723482E-4</v>
      </c>
      <c r="AB14">
        <v>39.202547000000003</v>
      </c>
      <c r="AC14">
        <f t="shared" si="11"/>
        <v>15.07072255275931</v>
      </c>
      <c r="AE14" s="1" t="s">
        <v>15</v>
      </c>
      <c r="AF14" s="4">
        <v>330</v>
      </c>
      <c r="AG14" s="4">
        <f t="shared" si="12"/>
        <v>165</v>
      </c>
      <c r="AH14" s="4">
        <v>354</v>
      </c>
      <c r="AI14" s="4">
        <f t="shared" si="13"/>
        <v>177</v>
      </c>
      <c r="AJ14" s="1">
        <v>2</v>
      </c>
      <c r="AK14">
        <f t="shared" si="14"/>
        <v>8.9915209179128102E-4</v>
      </c>
      <c r="AL14">
        <v>57.479720999999998</v>
      </c>
      <c r="AM14">
        <f t="shared" si="15"/>
        <v>6.3926583194050659</v>
      </c>
    </row>
    <row r="15" spans="1:39" x14ac:dyDescent="0.2">
      <c r="A15" s="1" t="s">
        <v>14</v>
      </c>
      <c r="B15" s="4">
        <v>330</v>
      </c>
      <c r="C15" s="1">
        <f t="shared" si="0"/>
        <v>165</v>
      </c>
      <c r="D15" s="4">
        <v>354</v>
      </c>
      <c r="E15" s="1">
        <f t="shared" si="1"/>
        <v>177</v>
      </c>
      <c r="F15" s="1">
        <v>20</v>
      </c>
      <c r="G15">
        <f t="shared" si="2"/>
        <v>7.340017075847193E-4</v>
      </c>
      <c r="H15">
        <v>81.791240000000002</v>
      </c>
      <c r="I15">
        <f t="shared" si="3"/>
        <v>11.143194784810438</v>
      </c>
      <c r="K15" s="1" t="s">
        <v>15</v>
      </c>
      <c r="L15" s="1">
        <v>240</v>
      </c>
      <c r="M15" s="1">
        <f t="shared" si="4"/>
        <v>120</v>
      </c>
      <c r="N15" s="1">
        <v>230</v>
      </c>
      <c r="O15" s="1">
        <f t="shared" si="5"/>
        <v>115</v>
      </c>
      <c r="P15" s="1">
        <v>4</v>
      </c>
      <c r="Q15">
        <f t="shared" si="6"/>
        <v>4.1619819474757576E-4</v>
      </c>
      <c r="R15" s="6">
        <v>40.41572</v>
      </c>
      <c r="S15">
        <f t="shared" si="7"/>
        <v>9.7106908463435655</v>
      </c>
      <c r="U15" s="1" t="s">
        <v>104</v>
      </c>
      <c r="V15" s="4">
        <v>240</v>
      </c>
      <c r="W15" s="4">
        <f t="shared" si="8"/>
        <v>120</v>
      </c>
      <c r="X15" s="4">
        <v>230</v>
      </c>
      <c r="Y15" s="4">
        <f t="shared" si="9"/>
        <v>115</v>
      </c>
      <c r="Z15" s="3">
        <v>22</v>
      </c>
      <c r="AA15">
        <f t="shared" si="10"/>
        <v>3.3816103323240534E-4</v>
      </c>
      <c r="AB15">
        <v>92.843946000000003</v>
      </c>
      <c r="AC15">
        <f t="shared" si="11"/>
        <v>27.455542441577489</v>
      </c>
      <c r="AE15" s="1" t="s">
        <v>16</v>
      </c>
      <c r="AF15" s="4">
        <v>330</v>
      </c>
      <c r="AG15" s="4">
        <f t="shared" si="12"/>
        <v>165</v>
      </c>
      <c r="AH15" s="4">
        <v>354</v>
      </c>
      <c r="AI15" s="4">
        <f t="shared" si="13"/>
        <v>177</v>
      </c>
      <c r="AJ15" s="1">
        <v>4</v>
      </c>
      <c r="AK15">
        <f t="shared" si="14"/>
        <v>8.8080204910166303E-4</v>
      </c>
      <c r="AL15">
        <v>53.349828000000002</v>
      </c>
      <c r="AM15">
        <f t="shared" si="15"/>
        <v>6.0569600234708716</v>
      </c>
    </row>
    <row r="16" spans="1:39" x14ac:dyDescent="0.2">
      <c r="A16" s="1" t="s">
        <v>15</v>
      </c>
      <c r="B16" s="4">
        <v>330</v>
      </c>
      <c r="C16" s="1">
        <f t="shared" si="0"/>
        <v>165</v>
      </c>
      <c r="D16" s="4">
        <v>354</v>
      </c>
      <c r="E16" s="1">
        <f t="shared" si="1"/>
        <v>177</v>
      </c>
      <c r="F16" s="1">
        <v>1</v>
      </c>
      <c r="G16">
        <f t="shared" si="2"/>
        <v>9.0832711313608991E-4</v>
      </c>
      <c r="H16">
        <v>88.556763000000004</v>
      </c>
      <c r="I16">
        <f t="shared" si="3"/>
        <v>9.7494351670566068</v>
      </c>
      <c r="K16" s="1" t="s">
        <v>16</v>
      </c>
      <c r="L16" s="4">
        <v>240</v>
      </c>
      <c r="M16" s="1">
        <f t="shared" si="4"/>
        <v>120</v>
      </c>
      <c r="N16" s="4">
        <v>230</v>
      </c>
      <c r="O16" s="1">
        <f t="shared" si="5"/>
        <v>115</v>
      </c>
      <c r="P16" s="1">
        <v>10</v>
      </c>
      <c r="Q16">
        <f t="shared" si="6"/>
        <v>3.9018580757585231E-4</v>
      </c>
      <c r="R16" s="6">
        <v>43.90343</v>
      </c>
      <c r="S16">
        <f t="shared" si="7"/>
        <v>11.251928990642531</v>
      </c>
      <c r="U16" s="1" t="s">
        <v>105</v>
      </c>
      <c r="V16" s="4">
        <v>240</v>
      </c>
      <c r="W16" s="4">
        <f t="shared" si="8"/>
        <v>120</v>
      </c>
      <c r="X16" s="4">
        <v>230</v>
      </c>
      <c r="Y16" s="4">
        <f t="shared" si="9"/>
        <v>115</v>
      </c>
      <c r="Z16" s="3">
        <v>80</v>
      </c>
      <c r="AA16">
        <f t="shared" si="10"/>
        <v>8.6707957239078254E-5</v>
      </c>
      <c r="AB16">
        <v>66.005691999999996</v>
      </c>
      <c r="AC16">
        <f t="shared" si="11"/>
        <v>76.124146043486775</v>
      </c>
      <c r="AE16" s="7" t="s">
        <v>17</v>
      </c>
      <c r="AF16" s="4">
        <v>330</v>
      </c>
      <c r="AG16" s="4">
        <f t="shared" si="12"/>
        <v>165</v>
      </c>
      <c r="AH16" s="4">
        <v>354</v>
      </c>
      <c r="AI16" s="4">
        <f t="shared" si="13"/>
        <v>177</v>
      </c>
      <c r="AJ16" s="3">
        <v>45</v>
      </c>
      <c r="AK16">
        <f t="shared" si="14"/>
        <v>5.0462617396449449E-4</v>
      </c>
    </row>
    <row r="17" spans="1:39" x14ac:dyDescent="0.2">
      <c r="A17" s="1" t="s">
        <v>16</v>
      </c>
      <c r="B17" s="4">
        <v>330</v>
      </c>
      <c r="C17" s="1">
        <f t="shared" si="0"/>
        <v>165</v>
      </c>
      <c r="D17" s="4">
        <v>354</v>
      </c>
      <c r="E17" s="1">
        <f t="shared" si="1"/>
        <v>177</v>
      </c>
      <c r="F17" s="1">
        <v>15</v>
      </c>
      <c r="G17">
        <f t="shared" si="2"/>
        <v>7.7987681430876418E-4</v>
      </c>
      <c r="H17">
        <v>94.265613999999999</v>
      </c>
      <c r="I17">
        <f t="shared" si="3"/>
        <v>12.087244071174414</v>
      </c>
      <c r="K17" s="1" t="s">
        <v>101</v>
      </c>
      <c r="L17" s="4">
        <v>240</v>
      </c>
      <c r="M17" s="1">
        <f t="shared" si="4"/>
        <v>120</v>
      </c>
      <c r="N17" s="4">
        <v>230</v>
      </c>
      <c r="O17" s="1">
        <f t="shared" si="5"/>
        <v>115</v>
      </c>
      <c r="P17" s="1">
        <v>0</v>
      </c>
      <c r="Q17">
        <f t="shared" si="6"/>
        <v>4.3353978619539143E-4</v>
      </c>
      <c r="R17" s="6">
        <v>41.595750000000002</v>
      </c>
      <c r="S17">
        <f t="shared" si="7"/>
        <v>9.5944481508908783</v>
      </c>
      <c r="U17" s="1" t="s">
        <v>19</v>
      </c>
      <c r="V17" s="4">
        <v>240</v>
      </c>
      <c r="W17" s="4">
        <f t="shared" si="8"/>
        <v>120</v>
      </c>
      <c r="X17" s="4">
        <v>230</v>
      </c>
      <c r="Y17" s="4">
        <f t="shared" si="9"/>
        <v>115</v>
      </c>
      <c r="Z17" s="1">
        <v>8</v>
      </c>
      <c r="AA17">
        <f t="shared" si="10"/>
        <v>3.9885660329976009E-4</v>
      </c>
      <c r="AB17">
        <v>58.435566000000001</v>
      </c>
      <c r="AC17">
        <f t="shared" si="11"/>
        <v>14.650770606919812</v>
      </c>
      <c r="AE17" s="1" t="s">
        <v>143</v>
      </c>
      <c r="AF17" s="4">
        <v>330</v>
      </c>
      <c r="AG17" s="4">
        <f t="shared" si="12"/>
        <v>165</v>
      </c>
      <c r="AH17" s="4">
        <v>354</v>
      </c>
      <c r="AI17" s="4">
        <f t="shared" si="13"/>
        <v>177</v>
      </c>
      <c r="AJ17" s="1">
        <v>4</v>
      </c>
      <c r="AK17">
        <f t="shared" si="14"/>
        <v>8.8080204910166303E-4</v>
      </c>
      <c r="AL17">
        <v>65.614480999999998</v>
      </c>
      <c r="AM17">
        <f t="shared" si="15"/>
        <v>7.4494014934366612</v>
      </c>
    </row>
    <row r="18" spans="1:39" x14ac:dyDescent="0.2">
      <c r="A18" s="16" t="s">
        <v>17</v>
      </c>
      <c r="B18" s="1">
        <v>360</v>
      </c>
      <c r="C18" s="1">
        <f t="shared" si="0"/>
        <v>180</v>
      </c>
      <c r="D18" s="1">
        <v>368</v>
      </c>
      <c r="E18" s="1">
        <f t="shared" si="1"/>
        <v>184</v>
      </c>
      <c r="F18" s="1">
        <v>10</v>
      </c>
      <c r="G18">
        <f t="shared" si="2"/>
        <v>9.3644593818204545E-4</v>
      </c>
      <c r="H18">
        <v>106.82065</v>
      </c>
      <c r="I18">
        <f t="shared" si="3"/>
        <v>11.40702796013773</v>
      </c>
      <c r="K18" s="1" t="s">
        <v>74</v>
      </c>
      <c r="L18" s="1">
        <v>240</v>
      </c>
      <c r="M18" s="1">
        <f t="shared" si="4"/>
        <v>120</v>
      </c>
      <c r="N18" s="1">
        <v>230</v>
      </c>
      <c r="O18" s="1">
        <f t="shared" si="5"/>
        <v>115</v>
      </c>
      <c r="P18" s="1">
        <v>10</v>
      </c>
      <c r="Q18">
        <f t="shared" si="6"/>
        <v>3.9018580757585231E-4</v>
      </c>
      <c r="R18" s="6">
        <v>42.240180000000002</v>
      </c>
      <c r="S18">
        <f t="shared" si="7"/>
        <v>10.825657719953972</v>
      </c>
      <c r="U18" s="1" t="s">
        <v>106</v>
      </c>
      <c r="V18" s="4">
        <v>240</v>
      </c>
      <c r="W18" s="4">
        <f t="shared" si="8"/>
        <v>120</v>
      </c>
      <c r="X18" s="4">
        <v>230</v>
      </c>
      <c r="Y18" s="4">
        <f t="shared" si="9"/>
        <v>115</v>
      </c>
      <c r="Z18" s="3">
        <v>35</v>
      </c>
      <c r="AA18">
        <f t="shared" si="10"/>
        <v>2.8180086102700443E-4</v>
      </c>
      <c r="AB18">
        <v>50.609665</v>
      </c>
      <c r="AC18">
        <f t="shared" si="11"/>
        <v>17.959372024470206</v>
      </c>
      <c r="AE18" s="1" t="s">
        <v>144</v>
      </c>
      <c r="AF18" s="4">
        <v>360</v>
      </c>
      <c r="AG18" s="4">
        <f t="shared" si="12"/>
        <v>180</v>
      </c>
      <c r="AH18" s="4">
        <v>368</v>
      </c>
      <c r="AI18" s="4">
        <f t="shared" si="13"/>
        <v>184</v>
      </c>
      <c r="AJ18" s="1">
        <v>1</v>
      </c>
      <c r="AK18">
        <f t="shared" si="14"/>
        <v>1.0300905320002501E-3</v>
      </c>
      <c r="AL18">
        <v>52.379868000000002</v>
      </c>
      <c r="AM18">
        <f t="shared" si="15"/>
        <v>5.0849771328630453</v>
      </c>
    </row>
    <row r="19" spans="1:39" x14ac:dyDescent="0.2">
      <c r="A19" s="1" t="s">
        <v>18</v>
      </c>
      <c r="B19" s="4">
        <v>330</v>
      </c>
      <c r="C19" s="1">
        <f t="shared" si="0"/>
        <v>165</v>
      </c>
      <c r="D19" s="4">
        <v>354</v>
      </c>
      <c r="E19" s="1">
        <f t="shared" si="1"/>
        <v>177</v>
      </c>
      <c r="F19" s="1">
        <v>7</v>
      </c>
      <c r="G19">
        <f t="shared" si="2"/>
        <v>8.5327698506723593E-4</v>
      </c>
      <c r="H19">
        <v>90.186133999999996</v>
      </c>
      <c r="I19">
        <f t="shared" si="3"/>
        <v>10.569385507672351</v>
      </c>
      <c r="K19" s="1" t="s">
        <v>21</v>
      </c>
      <c r="L19" s="1">
        <v>250</v>
      </c>
      <c r="M19" s="1">
        <f t="shared" si="4"/>
        <v>125</v>
      </c>
      <c r="N19" s="1">
        <v>240</v>
      </c>
      <c r="O19" s="1">
        <f t="shared" si="5"/>
        <v>120</v>
      </c>
      <c r="P19" s="1">
        <v>5</v>
      </c>
      <c r="Q19">
        <f t="shared" si="6"/>
        <v>4.4767695313654543E-4</v>
      </c>
      <c r="R19" s="6">
        <v>43.17839</v>
      </c>
      <c r="S19">
        <f t="shared" si="7"/>
        <v>9.6449883554381266</v>
      </c>
      <c r="U19" s="1" t="s">
        <v>20</v>
      </c>
      <c r="V19" s="4">
        <v>250</v>
      </c>
      <c r="W19" s="4">
        <f t="shared" si="8"/>
        <v>125</v>
      </c>
      <c r="X19" s="4">
        <v>240</v>
      </c>
      <c r="Y19" s="4">
        <f t="shared" si="9"/>
        <v>120</v>
      </c>
      <c r="Z19" s="1">
        <v>3</v>
      </c>
      <c r="AA19">
        <f t="shared" si="10"/>
        <v>4.5710173109731486E-4</v>
      </c>
      <c r="AB19">
        <v>103.672816</v>
      </c>
      <c r="AC19">
        <f t="shared" si="11"/>
        <v>22.680468908118954</v>
      </c>
      <c r="AE19" s="1" t="s">
        <v>20</v>
      </c>
      <c r="AF19" s="4">
        <v>330</v>
      </c>
      <c r="AG19" s="4">
        <f t="shared" si="12"/>
        <v>165</v>
      </c>
      <c r="AH19" s="4">
        <v>354</v>
      </c>
      <c r="AI19" s="4">
        <f t="shared" si="13"/>
        <v>177</v>
      </c>
      <c r="AJ19" s="1">
        <v>15</v>
      </c>
      <c r="AK19">
        <f t="shared" si="14"/>
        <v>7.7987681430876418E-4</v>
      </c>
      <c r="AL19">
        <v>74.820029000000005</v>
      </c>
      <c r="AM19">
        <f t="shared" si="15"/>
        <v>9.5938265668682519</v>
      </c>
    </row>
    <row r="20" spans="1:39" x14ac:dyDescent="0.2">
      <c r="A20" s="1" t="s">
        <v>19</v>
      </c>
      <c r="B20" s="4">
        <v>330</v>
      </c>
      <c r="C20" s="1">
        <f t="shared" si="0"/>
        <v>165</v>
      </c>
      <c r="D20" s="4">
        <v>354</v>
      </c>
      <c r="E20" s="1">
        <f t="shared" si="1"/>
        <v>177</v>
      </c>
      <c r="F20" s="1">
        <v>7</v>
      </c>
      <c r="G20">
        <f t="shared" si="2"/>
        <v>8.5327698506723593E-4</v>
      </c>
      <c r="H20">
        <v>98.976273000000006</v>
      </c>
      <c r="I20">
        <f t="shared" si="3"/>
        <v>11.599547946579264</v>
      </c>
      <c r="K20" s="1" t="s">
        <v>22</v>
      </c>
      <c r="L20" s="1">
        <v>250</v>
      </c>
      <c r="M20" s="1">
        <f t="shared" si="4"/>
        <v>125</v>
      </c>
      <c r="N20" s="1">
        <v>240</v>
      </c>
      <c r="O20" s="1">
        <f t="shared" si="5"/>
        <v>120</v>
      </c>
      <c r="P20" s="1">
        <v>8</v>
      </c>
      <c r="Q20">
        <f t="shared" si="6"/>
        <v>4.3353978619539143E-4</v>
      </c>
      <c r="R20" s="6">
        <v>42.988529999999997</v>
      </c>
      <c r="S20">
        <f t="shared" si="7"/>
        <v>9.9157058634119366</v>
      </c>
      <c r="U20" s="1" t="s">
        <v>22</v>
      </c>
      <c r="V20" s="4">
        <v>250</v>
      </c>
      <c r="W20" s="4">
        <f t="shared" si="8"/>
        <v>125</v>
      </c>
      <c r="X20" s="4">
        <v>240</v>
      </c>
      <c r="Y20" s="4">
        <f t="shared" si="9"/>
        <v>120</v>
      </c>
      <c r="Z20" s="3">
        <v>80</v>
      </c>
      <c r="AA20">
        <f t="shared" si="10"/>
        <v>9.4247779607693757E-5</v>
      </c>
      <c r="AB20">
        <v>76.179182999999995</v>
      </c>
      <c r="AC20">
        <f t="shared" si="11"/>
        <v>80.828623567680566</v>
      </c>
      <c r="AE20" s="1" t="s">
        <v>22</v>
      </c>
      <c r="AF20" s="4">
        <v>330</v>
      </c>
      <c r="AG20" s="4">
        <f t="shared" si="12"/>
        <v>165</v>
      </c>
      <c r="AH20" s="4">
        <v>354</v>
      </c>
      <c r="AI20" s="4">
        <f t="shared" si="13"/>
        <v>177</v>
      </c>
      <c r="AJ20" s="1">
        <v>8</v>
      </c>
      <c r="AK20">
        <f t="shared" si="14"/>
        <v>8.4410196372242704E-4</v>
      </c>
      <c r="AL20">
        <v>63.033298000000002</v>
      </c>
      <c r="AM20">
        <f t="shared" si="15"/>
        <v>7.4674980877935448</v>
      </c>
    </row>
    <row r="21" spans="1:39" x14ac:dyDescent="0.2">
      <c r="A21" s="1" t="s">
        <v>20</v>
      </c>
      <c r="B21" s="1">
        <v>330</v>
      </c>
      <c r="C21" s="1">
        <f t="shared" si="0"/>
        <v>165</v>
      </c>
      <c r="D21" s="1">
        <v>380</v>
      </c>
      <c r="E21" s="1">
        <f t="shared" si="1"/>
        <v>190</v>
      </c>
      <c r="F21" s="1">
        <v>1</v>
      </c>
      <c r="G21">
        <f t="shared" si="2"/>
        <v>9.7504040393139597E-4</v>
      </c>
      <c r="H21">
        <v>48.852767</v>
      </c>
      <c r="I21">
        <f t="shared" si="3"/>
        <v>5.0103325772987439</v>
      </c>
      <c r="K21" s="1" t="s">
        <v>75</v>
      </c>
      <c r="L21" s="4">
        <v>242</v>
      </c>
      <c r="M21" s="1">
        <f t="shared" si="4"/>
        <v>121</v>
      </c>
      <c r="N21" s="4">
        <v>235</v>
      </c>
      <c r="O21" s="1">
        <f t="shared" si="5"/>
        <v>117.5</v>
      </c>
      <c r="P21" s="1">
        <v>1</v>
      </c>
      <c r="Q21">
        <f t="shared" si="6"/>
        <v>4.421893761688876E-4</v>
      </c>
      <c r="R21" s="6">
        <v>41.305610000000001</v>
      </c>
      <c r="S21">
        <f t="shared" si="7"/>
        <v>9.3411583873566304</v>
      </c>
      <c r="U21" s="1" t="s">
        <v>75</v>
      </c>
      <c r="V21" s="4">
        <v>242</v>
      </c>
      <c r="W21" s="4">
        <f t="shared" si="8"/>
        <v>121</v>
      </c>
      <c r="X21" s="4">
        <v>235</v>
      </c>
      <c r="Y21" s="4">
        <f t="shared" si="9"/>
        <v>117.5</v>
      </c>
      <c r="Z21" s="3">
        <v>80</v>
      </c>
      <c r="AA21">
        <f t="shared" si="10"/>
        <v>8.9331187104825749E-5</v>
      </c>
      <c r="AB21">
        <v>26.669277999999998</v>
      </c>
      <c r="AC21">
        <f t="shared" si="11"/>
        <v>29.854386653011691</v>
      </c>
      <c r="AE21" s="1" t="s">
        <v>23</v>
      </c>
      <c r="AF21" s="4">
        <v>330</v>
      </c>
      <c r="AG21" s="4">
        <f t="shared" si="12"/>
        <v>165</v>
      </c>
      <c r="AH21" s="4">
        <v>380</v>
      </c>
      <c r="AI21" s="4">
        <f t="shared" si="13"/>
        <v>190</v>
      </c>
      <c r="AJ21" s="1">
        <v>12</v>
      </c>
      <c r="AK21">
        <f t="shared" si="14"/>
        <v>8.6670258127235209E-4</v>
      </c>
      <c r="AL21">
        <v>62.523111</v>
      </c>
      <c r="AM21">
        <f t="shared" si="15"/>
        <v>7.2139061716204562</v>
      </c>
    </row>
    <row r="22" spans="1:39" x14ac:dyDescent="0.2">
      <c r="A22" s="1" t="s">
        <v>21</v>
      </c>
      <c r="B22" s="4">
        <v>376</v>
      </c>
      <c r="C22" s="1">
        <f t="shared" si="0"/>
        <v>188</v>
      </c>
      <c r="D22" s="4">
        <v>396</v>
      </c>
      <c r="E22" s="1">
        <f t="shared" si="1"/>
        <v>198</v>
      </c>
      <c r="F22" s="1">
        <v>1</v>
      </c>
      <c r="G22">
        <f t="shared" si="2"/>
        <v>1.157732184878542E-3</v>
      </c>
      <c r="H22">
        <v>101.323536</v>
      </c>
      <c r="I22">
        <f t="shared" si="3"/>
        <v>8.7518976602200862</v>
      </c>
      <c r="K22" s="1" t="s">
        <v>23</v>
      </c>
      <c r="L22" s="1">
        <v>230</v>
      </c>
      <c r="M22" s="1">
        <f t="shared" si="4"/>
        <v>115</v>
      </c>
      <c r="N22" s="1">
        <v>230</v>
      </c>
      <c r="O22" s="1">
        <f t="shared" si="5"/>
        <v>115</v>
      </c>
      <c r="P22" s="1">
        <v>8</v>
      </c>
      <c r="Q22">
        <f t="shared" si="6"/>
        <v>3.8223757816227024E-4</v>
      </c>
      <c r="R22" s="6">
        <v>37.557470000000002</v>
      </c>
      <c r="S22">
        <f t="shared" si="7"/>
        <v>9.8256875162744564</v>
      </c>
      <c r="U22" s="1" t="s">
        <v>107</v>
      </c>
      <c r="V22" s="4">
        <v>230</v>
      </c>
      <c r="W22" s="4">
        <f t="shared" si="8"/>
        <v>115</v>
      </c>
      <c r="X22" s="4">
        <v>230</v>
      </c>
      <c r="Y22" s="4">
        <f t="shared" si="9"/>
        <v>115</v>
      </c>
      <c r="Z22" s="3">
        <v>35</v>
      </c>
      <c r="AA22">
        <f t="shared" si="10"/>
        <v>2.7005915848421263E-4</v>
      </c>
      <c r="AB22">
        <v>45.076408000000001</v>
      </c>
      <c r="AC22">
        <f t="shared" si="11"/>
        <v>16.691308768421244</v>
      </c>
      <c r="AE22" s="1" t="s">
        <v>24</v>
      </c>
      <c r="AF22" s="4">
        <v>376</v>
      </c>
      <c r="AG22" s="4">
        <f t="shared" si="12"/>
        <v>188</v>
      </c>
      <c r="AH22" s="4">
        <v>396</v>
      </c>
      <c r="AI22" s="4">
        <f t="shared" si="13"/>
        <v>198</v>
      </c>
      <c r="AJ22" s="1">
        <v>1</v>
      </c>
      <c r="AK22">
        <f t="shared" si="14"/>
        <v>1.157732184878542E-3</v>
      </c>
      <c r="AL22">
        <v>57.993941</v>
      </c>
      <c r="AM22">
        <f t="shared" si="15"/>
        <v>5.0092708622490409</v>
      </c>
    </row>
    <row r="23" spans="1:39" x14ac:dyDescent="0.2">
      <c r="A23" s="1" t="s">
        <v>22</v>
      </c>
      <c r="B23" s="1">
        <v>370</v>
      </c>
      <c r="C23" s="1">
        <f t="shared" si="0"/>
        <v>185</v>
      </c>
      <c r="D23" s="1">
        <v>390</v>
      </c>
      <c r="E23" s="1">
        <f t="shared" si="1"/>
        <v>195</v>
      </c>
      <c r="F23" s="1">
        <v>8</v>
      </c>
      <c r="G23">
        <f t="shared" si="2"/>
        <v>1.0426631857999166E-3</v>
      </c>
      <c r="H23">
        <v>100.474569</v>
      </c>
      <c r="I23">
        <f t="shared" si="3"/>
        <v>9.6363399387614628</v>
      </c>
      <c r="K23" s="1" t="s">
        <v>25</v>
      </c>
      <c r="L23" s="4">
        <v>242</v>
      </c>
      <c r="M23" s="1">
        <f t="shared" si="4"/>
        <v>121</v>
      </c>
      <c r="N23" s="4">
        <v>235</v>
      </c>
      <c r="O23" s="1">
        <f t="shared" si="5"/>
        <v>117.5</v>
      </c>
      <c r="P23" s="1">
        <v>1</v>
      </c>
      <c r="Q23">
        <f t="shared" si="6"/>
        <v>4.421893761688876E-4</v>
      </c>
      <c r="R23" s="6">
        <v>50.855339999999998</v>
      </c>
      <c r="S23">
        <f t="shared" si="7"/>
        <v>11.500805478550568</v>
      </c>
      <c r="U23" s="1" t="s">
        <v>24</v>
      </c>
      <c r="V23" s="4">
        <v>242</v>
      </c>
      <c r="W23" s="4">
        <f t="shared" si="8"/>
        <v>121</v>
      </c>
      <c r="X23" s="4">
        <v>235</v>
      </c>
      <c r="Y23" s="4">
        <f t="shared" si="9"/>
        <v>117.5</v>
      </c>
      <c r="Z23" s="3">
        <v>25</v>
      </c>
      <c r="AA23">
        <f t="shared" si="10"/>
        <v>3.3499195164309671E-4</v>
      </c>
      <c r="AB23">
        <v>44.630608000000002</v>
      </c>
      <c r="AC23">
        <f t="shared" si="11"/>
        <v>13.322889633942561</v>
      </c>
      <c r="AE23" s="1" t="s">
        <v>25</v>
      </c>
      <c r="AF23" s="4">
        <v>370</v>
      </c>
      <c r="AG23" s="4">
        <f t="shared" si="12"/>
        <v>185</v>
      </c>
      <c r="AH23" s="4">
        <v>390</v>
      </c>
      <c r="AI23" s="4">
        <f t="shared" si="13"/>
        <v>195</v>
      </c>
      <c r="AJ23" s="1">
        <v>1</v>
      </c>
      <c r="AK23">
        <f t="shared" si="14"/>
        <v>1.1219962542846928E-3</v>
      </c>
      <c r="AL23">
        <v>52.585555999999997</v>
      </c>
      <c r="AM23">
        <f t="shared" si="15"/>
        <v>4.6867853434613211</v>
      </c>
    </row>
    <row r="24" spans="1:39" x14ac:dyDescent="0.2">
      <c r="A24" s="1" t="s">
        <v>23</v>
      </c>
      <c r="B24" s="1">
        <v>360</v>
      </c>
      <c r="C24" s="1">
        <f t="shared" si="0"/>
        <v>180</v>
      </c>
      <c r="D24" s="1">
        <v>380</v>
      </c>
      <c r="E24" s="1">
        <f t="shared" si="1"/>
        <v>190</v>
      </c>
      <c r="F24" s="1">
        <v>10</v>
      </c>
      <c r="G24">
        <f t="shared" si="2"/>
        <v>9.669822187749384E-4</v>
      </c>
      <c r="H24">
        <v>101.273122</v>
      </c>
      <c r="I24">
        <f t="shared" si="3"/>
        <v>10.473111090739813</v>
      </c>
      <c r="K24" s="1" t="s">
        <v>76</v>
      </c>
      <c r="L24" s="1">
        <v>230</v>
      </c>
      <c r="M24" s="1">
        <f t="shared" si="4"/>
        <v>115</v>
      </c>
      <c r="N24" s="1">
        <v>240</v>
      </c>
      <c r="O24" s="1">
        <f t="shared" si="5"/>
        <v>120</v>
      </c>
      <c r="P24" s="3">
        <v>8</v>
      </c>
      <c r="Q24">
        <f t="shared" si="6"/>
        <v>3.988566032997602E-4</v>
      </c>
      <c r="R24" s="6">
        <v>42.321219999999997</v>
      </c>
      <c r="S24">
        <f t="shared" si="7"/>
        <v>10.610635413798962</v>
      </c>
      <c r="U24" s="1" t="s">
        <v>25</v>
      </c>
      <c r="V24" s="4">
        <v>230</v>
      </c>
      <c r="W24" s="4">
        <f t="shared" si="8"/>
        <v>115</v>
      </c>
      <c r="X24" s="4">
        <v>240</v>
      </c>
      <c r="Y24" s="4">
        <f t="shared" si="9"/>
        <v>120</v>
      </c>
      <c r="Z24" s="3">
        <v>50</v>
      </c>
      <c r="AA24">
        <f t="shared" si="10"/>
        <v>2.1676989309769574E-4</v>
      </c>
      <c r="AB24">
        <v>39.493332000000002</v>
      </c>
      <c r="AC24">
        <f t="shared" si="11"/>
        <v>18.219011614403854</v>
      </c>
      <c r="AE24" s="1" t="s">
        <v>131</v>
      </c>
      <c r="AF24" s="4">
        <v>360</v>
      </c>
      <c r="AG24" s="4">
        <f t="shared" si="12"/>
        <v>180</v>
      </c>
      <c r="AH24" s="4">
        <v>380</v>
      </c>
      <c r="AI24" s="4">
        <f t="shared" si="13"/>
        <v>190</v>
      </c>
      <c r="AJ24" s="1">
        <v>6</v>
      </c>
      <c r="AK24">
        <f t="shared" si="14"/>
        <v>1.0099592062760468E-3</v>
      </c>
      <c r="AL24">
        <v>69.056730999999999</v>
      </c>
      <c r="AM24">
        <f t="shared" si="15"/>
        <v>6.8375762675235316</v>
      </c>
    </row>
    <row r="25" spans="1:39" x14ac:dyDescent="0.2">
      <c r="A25" s="1" t="s">
        <v>24</v>
      </c>
      <c r="B25" s="1">
        <v>390</v>
      </c>
      <c r="C25" s="1">
        <f t="shared" si="0"/>
        <v>195</v>
      </c>
      <c r="D25" s="1">
        <v>390</v>
      </c>
      <c r="E25" s="1">
        <f t="shared" si="1"/>
        <v>195</v>
      </c>
      <c r="F25" s="1">
        <v>2</v>
      </c>
      <c r="G25">
        <f t="shared" si="2"/>
        <v>1.1706987943969685E-3</v>
      </c>
      <c r="H25">
        <v>93.471092999999996</v>
      </c>
      <c r="I25">
        <f t="shared" si="3"/>
        <v>7.9842136549006471</v>
      </c>
      <c r="K25" s="1" t="s">
        <v>28</v>
      </c>
      <c r="L25" s="1">
        <v>240</v>
      </c>
      <c r="M25" s="1">
        <f t="shared" si="4"/>
        <v>120</v>
      </c>
      <c r="N25" s="1">
        <v>240</v>
      </c>
      <c r="O25" s="1">
        <f t="shared" si="5"/>
        <v>120</v>
      </c>
      <c r="P25" s="1">
        <v>1</v>
      </c>
      <c r="Q25">
        <f t="shared" si="6"/>
        <v>4.4786544869576087E-4</v>
      </c>
      <c r="R25" s="6">
        <v>41.36056</v>
      </c>
      <c r="S25">
        <f t="shared" si="7"/>
        <v>9.2350414885647076</v>
      </c>
      <c r="U25" s="1" t="s">
        <v>108</v>
      </c>
      <c r="V25" s="4">
        <v>240</v>
      </c>
      <c r="W25" s="4">
        <f t="shared" si="8"/>
        <v>120</v>
      </c>
      <c r="X25" s="4">
        <v>240</v>
      </c>
      <c r="Y25" s="4">
        <f t="shared" si="9"/>
        <v>120</v>
      </c>
      <c r="Z25" s="1">
        <v>22</v>
      </c>
      <c r="AA25">
        <f t="shared" si="10"/>
        <v>3.5286368685120555E-4</v>
      </c>
      <c r="AB25">
        <v>70.909940000000006</v>
      </c>
      <c r="AC25">
        <f t="shared" si="11"/>
        <v>20.095561726050061</v>
      </c>
      <c r="AE25" s="1" t="s">
        <v>132</v>
      </c>
      <c r="AF25" s="4">
        <v>390</v>
      </c>
      <c r="AG25" s="4">
        <f t="shared" si="12"/>
        <v>195</v>
      </c>
      <c r="AH25" s="4">
        <v>390</v>
      </c>
      <c r="AI25" s="4">
        <f t="shared" si="13"/>
        <v>195</v>
      </c>
      <c r="AJ25" s="1">
        <v>2</v>
      </c>
      <c r="AK25">
        <f t="shared" si="14"/>
        <v>1.1706987943969685E-3</v>
      </c>
      <c r="AL25">
        <v>65.394677000000001</v>
      </c>
      <c r="AM25">
        <f t="shared" si="15"/>
        <v>5.5859523656283478</v>
      </c>
    </row>
    <row r="26" spans="1:39" x14ac:dyDescent="0.2">
      <c r="A26" s="1" t="s">
        <v>25</v>
      </c>
      <c r="B26" s="1">
        <v>430</v>
      </c>
      <c r="C26" s="1">
        <f t="shared" si="0"/>
        <v>215</v>
      </c>
      <c r="D26" s="1">
        <v>440</v>
      </c>
      <c r="E26" s="1">
        <f t="shared" si="1"/>
        <v>220</v>
      </c>
      <c r="F26" s="1">
        <v>2</v>
      </c>
      <c r="G26">
        <f t="shared" si="2"/>
        <v>1.4562538586450127E-3</v>
      </c>
      <c r="H26">
        <v>125.100669</v>
      </c>
      <c r="I26">
        <f t="shared" si="3"/>
        <v>8.5905811172511708</v>
      </c>
      <c r="K26" s="1" t="s">
        <v>77</v>
      </c>
      <c r="L26" s="4">
        <v>235</v>
      </c>
      <c r="M26" s="1">
        <f t="shared" si="4"/>
        <v>117.5</v>
      </c>
      <c r="N26" s="4">
        <v>240</v>
      </c>
      <c r="O26" s="1">
        <f t="shared" si="5"/>
        <v>120</v>
      </c>
      <c r="P26" s="1">
        <v>0</v>
      </c>
      <c r="Q26">
        <f t="shared" si="6"/>
        <v>4.4296456415616087E-4</v>
      </c>
      <c r="R26" s="6">
        <v>46.522849999999998</v>
      </c>
      <c r="S26">
        <f t="shared" si="7"/>
        <v>10.50261211946494</v>
      </c>
      <c r="U26" s="1" t="s">
        <v>109</v>
      </c>
      <c r="V26" s="4">
        <v>235</v>
      </c>
      <c r="W26" s="4">
        <f t="shared" si="8"/>
        <v>117.5</v>
      </c>
      <c r="X26" s="4">
        <v>240</v>
      </c>
      <c r="Y26" s="4">
        <f t="shared" si="9"/>
        <v>120</v>
      </c>
      <c r="Z26" s="3">
        <v>25</v>
      </c>
      <c r="AA26">
        <f t="shared" si="10"/>
        <v>3.3222342311712064E-4</v>
      </c>
      <c r="AB26">
        <v>53.611980000000003</v>
      </c>
      <c r="AC26">
        <f t="shared" si="11"/>
        <v>16.137326952139635</v>
      </c>
      <c r="AE26" s="16" t="s">
        <v>109</v>
      </c>
      <c r="AF26" s="4">
        <v>430</v>
      </c>
      <c r="AG26" s="4">
        <f t="shared" si="12"/>
        <v>215</v>
      </c>
      <c r="AH26" s="4">
        <v>440</v>
      </c>
      <c r="AI26" s="4">
        <f t="shared" si="13"/>
        <v>220</v>
      </c>
      <c r="AJ26" s="1">
        <v>12</v>
      </c>
      <c r="AK26">
        <f t="shared" si="14"/>
        <v>1.3076565261302155E-3</v>
      </c>
      <c r="AL26">
        <v>63.989142000000001</v>
      </c>
      <c r="AM26">
        <f t="shared" si="15"/>
        <v>4.89342122501884</v>
      </c>
    </row>
    <row r="27" spans="1:39" x14ac:dyDescent="0.2">
      <c r="A27" s="1" t="s">
        <v>26</v>
      </c>
      <c r="B27" s="4">
        <v>376</v>
      </c>
      <c r="C27" s="1">
        <f t="shared" si="0"/>
        <v>188</v>
      </c>
      <c r="D27" s="4">
        <v>396</v>
      </c>
      <c r="E27" s="1">
        <f t="shared" si="1"/>
        <v>198</v>
      </c>
      <c r="F27" s="1">
        <v>4</v>
      </c>
      <c r="G27">
        <f t="shared" si="2"/>
        <v>1.122649391397374E-3</v>
      </c>
      <c r="H27">
        <v>103.38243300000001</v>
      </c>
      <c r="I27">
        <f t="shared" si="3"/>
        <v>9.208790722392747</v>
      </c>
      <c r="K27" s="1" t="s">
        <v>29</v>
      </c>
      <c r="L27" s="4">
        <v>200</v>
      </c>
      <c r="M27" s="1">
        <f t="shared" si="4"/>
        <v>100</v>
      </c>
      <c r="N27" s="4">
        <v>240</v>
      </c>
      <c r="O27" s="1">
        <f t="shared" si="5"/>
        <v>120</v>
      </c>
      <c r="P27" s="1">
        <v>0</v>
      </c>
      <c r="Q27">
        <f t="shared" si="6"/>
        <v>3.7699111843077519E-4</v>
      </c>
      <c r="R27" s="6">
        <v>45.486930000000001</v>
      </c>
      <c r="S27">
        <f t="shared" si="7"/>
        <v>12.065782925958379</v>
      </c>
      <c r="U27" s="1" t="s">
        <v>110</v>
      </c>
      <c r="V27" s="4">
        <v>200</v>
      </c>
      <c r="W27" s="4">
        <f t="shared" si="8"/>
        <v>100</v>
      </c>
      <c r="X27" s="4">
        <v>240</v>
      </c>
      <c r="Y27" s="4">
        <f t="shared" si="9"/>
        <v>120</v>
      </c>
      <c r="Z27" s="3">
        <v>75</v>
      </c>
      <c r="AA27">
        <f t="shared" si="10"/>
        <v>9.4247779607693798E-5</v>
      </c>
      <c r="AB27">
        <v>42.707149999999999</v>
      </c>
      <c r="AC27">
        <f t="shared" si="11"/>
        <v>45.313693519113592</v>
      </c>
      <c r="AE27" s="1" t="s">
        <v>111</v>
      </c>
      <c r="AF27" s="4">
        <v>376</v>
      </c>
      <c r="AG27" s="4">
        <f t="shared" si="12"/>
        <v>188</v>
      </c>
      <c r="AH27" s="4">
        <v>396</v>
      </c>
      <c r="AI27" s="4">
        <f t="shared" si="13"/>
        <v>198</v>
      </c>
      <c r="AJ27" s="3">
        <v>80</v>
      </c>
      <c r="AK27">
        <f t="shared" si="14"/>
        <v>2.3388528987445287E-4</v>
      </c>
      <c r="AL27">
        <v>54.610171999999999</v>
      </c>
      <c r="AM27">
        <f t="shared" si="15"/>
        <v>23.349126415480924</v>
      </c>
    </row>
    <row r="28" spans="1:39" x14ac:dyDescent="0.2">
      <c r="A28" s="1" t="s">
        <v>27</v>
      </c>
      <c r="B28" s="4">
        <v>376</v>
      </c>
      <c r="C28" s="1">
        <f t="shared" si="0"/>
        <v>188</v>
      </c>
      <c r="D28" s="4">
        <v>396</v>
      </c>
      <c r="E28" s="1">
        <f t="shared" si="1"/>
        <v>198</v>
      </c>
      <c r="F28" s="1">
        <v>20</v>
      </c>
      <c r="G28">
        <f t="shared" si="2"/>
        <v>9.3554115949781179E-4</v>
      </c>
      <c r="H28">
        <v>106.292314</v>
      </c>
      <c r="I28">
        <f t="shared" si="3"/>
        <v>11.361586063947904</v>
      </c>
      <c r="K28" s="1" t="s">
        <v>30</v>
      </c>
      <c r="L28" s="4">
        <v>200</v>
      </c>
      <c r="M28" s="1">
        <f t="shared" si="4"/>
        <v>100</v>
      </c>
      <c r="N28" s="4">
        <v>240</v>
      </c>
      <c r="O28" s="1">
        <f t="shared" si="5"/>
        <v>120</v>
      </c>
      <c r="P28" s="1">
        <v>0</v>
      </c>
      <c r="Q28">
        <f t="shared" si="6"/>
        <v>3.7699111843077519E-4</v>
      </c>
      <c r="R28" s="6">
        <v>43.79289</v>
      </c>
      <c r="S28">
        <f t="shared" si="7"/>
        <v>11.616424859632723</v>
      </c>
      <c r="U28" s="1" t="s">
        <v>29</v>
      </c>
      <c r="V28" s="4">
        <v>200</v>
      </c>
      <c r="W28" s="4">
        <f t="shared" si="8"/>
        <v>100</v>
      </c>
      <c r="X28" s="4">
        <v>240</v>
      </c>
      <c r="Y28" s="4">
        <f t="shared" si="9"/>
        <v>120</v>
      </c>
      <c r="Z28" s="3">
        <v>45</v>
      </c>
      <c r="AA28">
        <f t="shared" si="10"/>
        <v>2.0734511513692636E-4</v>
      </c>
      <c r="AB28">
        <v>86.630958000000007</v>
      </c>
      <c r="AC28">
        <f t="shared" si="11"/>
        <v>41.781046031776896</v>
      </c>
      <c r="AE28" s="1" t="s">
        <v>31</v>
      </c>
      <c r="AF28" s="4">
        <v>376</v>
      </c>
      <c r="AG28" s="4">
        <f t="shared" si="12"/>
        <v>188</v>
      </c>
      <c r="AH28" s="4">
        <v>396</v>
      </c>
      <c r="AI28" s="4">
        <f t="shared" si="13"/>
        <v>198</v>
      </c>
      <c r="AJ28" s="3">
        <v>85</v>
      </c>
      <c r="AK28">
        <f t="shared" si="14"/>
        <v>1.7541396740583973E-4</v>
      </c>
      <c r="AL28">
        <v>52.093518000000003</v>
      </c>
      <c r="AM28">
        <f t="shared" si="15"/>
        <v>29.6974743633019</v>
      </c>
    </row>
    <row r="29" spans="1:39" x14ac:dyDescent="0.2">
      <c r="A29" s="1" t="s">
        <v>28</v>
      </c>
      <c r="B29" s="4">
        <v>376</v>
      </c>
      <c r="C29" s="1">
        <f t="shared" si="0"/>
        <v>188</v>
      </c>
      <c r="D29" s="4">
        <v>396</v>
      </c>
      <c r="E29" s="1">
        <f t="shared" si="1"/>
        <v>198</v>
      </c>
      <c r="F29" s="1">
        <v>15</v>
      </c>
      <c r="G29">
        <f t="shared" si="2"/>
        <v>9.9401248196642495E-4</v>
      </c>
      <c r="H29">
        <v>110.680325</v>
      </c>
      <c r="I29">
        <f t="shared" si="3"/>
        <v>11.134701727391235</v>
      </c>
      <c r="K29" s="1" t="s">
        <v>31</v>
      </c>
      <c r="L29" s="4">
        <v>200</v>
      </c>
      <c r="M29" s="1">
        <f t="shared" si="4"/>
        <v>100</v>
      </c>
      <c r="N29" s="4">
        <v>240</v>
      </c>
      <c r="O29" s="1">
        <f t="shared" si="5"/>
        <v>120</v>
      </c>
      <c r="P29" s="1">
        <v>1</v>
      </c>
      <c r="Q29">
        <f t="shared" si="6"/>
        <v>3.7322120724646741E-4</v>
      </c>
      <c r="R29" s="6">
        <v>42.768940000000001</v>
      </c>
      <c r="S29">
        <f t="shared" si="7"/>
        <v>11.45940776397422</v>
      </c>
      <c r="U29" s="1" t="s">
        <v>111</v>
      </c>
      <c r="V29" s="4">
        <v>200</v>
      </c>
      <c r="W29" s="4">
        <f t="shared" si="8"/>
        <v>100</v>
      </c>
      <c r="X29" s="4">
        <v>240</v>
      </c>
      <c r="Y29" s="4">
        <f t="shared" si="9"/>
        <v>120</v>
      </c>
      <c r="Z29" s="3">
        <v>70</v>
      </c>
      <c r="AA29">
        <f t="shared" si="10"/>
        <v>1.1309733552923256E-4</v>
      </c>
      <c r="AB29">
        <v>71.200322999999997</v>
      </c>
      <c r="AC29">
        <f t="shared" si="11"/>
        <v>62.954907528830923</v>
      </c>
      <c r="AE29" s="1" t="s">
        <v>112</v>
      </c>
      <c r="AF29" s="4">
        <v>376</v>
      </c>
      <c r="AG29" s="4">
        <f t="shared" si="12"/>
        <v>188</v>
      </c>
      <c r="AH29" s="4">
        <v>396</v>
      </c>
      <c r="AI29" s="4">
        <f t="shared" si="13"/>
        <v>198</v>
      </c>
      <c r="AJ29" s="1">
        <v>12</v>
      </c>
      <c r="AK29">
        <f t="shared" si="14"/>
        <v>1.029095275447593E-3</v>
      </c>
      <c r="AL29">
        <v>64.370270000000005</v>
      </c>
      <c r="AM29">
        <f t="shared" si="15"/>
        <v>6.2550350327867275</v>
      </c>
    </row>
    <row r="30" spans="1:39" x14ac:dyDescent="0.2">
      <c r="A30" s="1" t="s">
        <v>29</v>
      </c>
      <c r="B30" s="1">
        <v>340</v>
      </c>
      <c r="C30" s="1">
        <f t="shared" si="0"/>
        <v>170</v>
      </c>
      <c r="D30" s="1">
        <v>360</v>
      </c>
      <c r="E30" s="1">
        <f t="shared" si="1"/>
        <v>180</v>
      </c>
      <c r="F30" s="1">
        <v>2</v>
      </c>
      <c r="G30">
        <f t="shared" si="2"/>
        <v>9.4210080495850705E-4</v>
      </c>
      <c r="H30">
        <v>44.715063999999998</v>
      </c>
      <c r="I30">
        <f t="shared" si="3"/>
        <v>4.7463141698482456</v>
      </c>
      <c r="K30" s="1" t="s">
        <v>78</v>
      </c>
      <c r="L30" s="4">
        <v>200</v>
      </c>
      <c r="M30" s="1">
        <f t="shared" si="4"/>
        <v>100</v>
      </c>
      <c r="N30" s="4">
        <v>240</v>
      </c>
      <c r="O30" s="1">
        <f t="shared" si="5"/>
        <v>120</v>
      </c>
      <c r="P30" s="1">
        <v>1</v>
      </c>
      <c r="Q30">
        <f t="shared" si="6"/>
        <v>3.7322120724646741E-4</v>
      </c>
      <c r="R30" s="6">
        <v>43.460410000000003</v>
      </c>
      <c r="S30">
        <f t="shared" si="7"/>
        <v>11.644678586364376</v>
      </c>
      <c r="U30" s="7" t="s">
        <v>112</v>
      </c>
      <c r="V30" s="4">
        <v>200</v>
      </c>
      <c r="W30" s="4">
        <f t="shared" si="8"/>
        <v>100</v>
      </c>
      <c r="X30" s="4">
        <v>240</v>
      </c>
      <c r="Y30" s="4">
        <f t="shared" si="9"/>
        <v>120</v>
      </c>
      <c r="Z30" s="1">
        <v>20</v>
      </c>
      <c r="AA30">
        <f t="shared" si="10"/>
        <v>3.0159289474462013E-4</v>
      </c>
      <c r="AE30" s="1" t="s">
        <v>34</v>
      </c>
      <c r="AF30" s="4">
        <v>340</v>
      </c>
      <c r="AG30" s="4">
        <f t="shared" si="12"/>
        <v>170</v>
      </c>
      <c r="AH30" s="4">
        <v>360</v>
      </c>
      <c r="AI30" s="4">
        <f t="shared" si="13"/>
        <v>180</v>
      </c>
      <c r="AJ30" s="1">
        <v>18</v>
      </c>
      <c r="AK30">
        <f t="shared" si="14"/>
        <v>7.8828842863875096E-4</v>
      </c>
      <c r="AL30">
        <v>54.664617999999997</v>
      </c>
      <c r="AM30">
        <f t="shared" si="15"/>
        <v>6.9345960201898587</v>
      </c>
    </row>
    <row r="31" spans="1:39" x14ac:dyDescent="0.2">
      <c r="A31" s="1" t="s">
        <v>30</v>
      </c>
      <c r="B31" s="4">
        <v>380</v>
      </c>
      <c r="C31" s="1">
        <f t="shared" si="0"/>
        <v>190</v>
      </c>
      <c r="D31" s="4">
        <v>394</v>
      </c>
      <c r="E31" s="1">
        <f t="shared" si="1"/>
        <v>197</v>
      </c>
      <c r="F31" s="1">
        <v>3</v>
      </c>
      <c r="G31">
        <f t="shared" si="2"/>
        <v>1.1406211863314998E-3</v>
      </c>
      <c r="H31">
        <v>117.09496799999999</v>
      </c>
      <c r="I31">
        <f t="shared" si="3"/>
        <v>10.265894532136858</v>
      </c>
      <c r="K31" s="1" t="s">
        <v>33</v>
      </c>
      <c r="L31" s="1">
        <v>200</v>
      </c>
      <c r="M31" s="1">
        <f t="shared" si="4"/>
        <v>100</v>
      </c>
      <c r="N31" s="1">
        <v>240</v>
      </c>
      <c r="O31" s="1">
        <f t="shared" si="5"/>
        <v>120</v>
      </c>
      <c r="P31" s="3">
        <v>20</v>
      </c>
      <c r="Q31">
        <f t="shared" si="6"/>
        <v>3.0159289474462013E-4</v>
      </c>
      <c r="R31">
        <v>44.112113000000001</v>
      </c>
      <c r="S31">
        <f t="shared" si="7"/>
        <v>14.62637673787137</v>
      </c>
      <c r="U31" s="1" t="s">
        <v>33</v>
      </c>
      <c r="V31" s="4">
        <v>200</v>
      </c>
      <c r="W31" s="4">
        <f t="shared" si="8"/>
        <v>100</v>
      </c>
      <c r="X31" s="4">
        <v>240</v>
      </c>
      <c r="Y31" s="4">
        <f t="shared" si="9"/>
        <v>120</v>
      </c>
      <c r="Z31" s="1">
        <v>20</v>
      </c>
      <c r="AA31">
        <f t="shared" si="10"/>
        <v>3.0159289474462013E-4</v>
      </c>
      <c r="AB31">
        <v>44.688552000000001</v>
      </c>
      <c r="AC31">
        <f t="shared" si="11"/>
        <v>14.817508230040012</v>
      </c>
      <c r="AE31" s="1" t="s">
        <v>133</v>
      </c>
      <c r="AF31" s="4">
        <v>380</v>
      </c>
      <c r="AG31" s="4">
        <f t="shared" si="12"/>
        <v>190</v>
      </c>
      <c r="AH31" s="4">
        <v>394</v>
      </c>
      <c r="AI31" s="4">
        <f t="shared" si="13"/>
        <v>197</v>
      </c>
      <c r="AJ31" s="3">
        <v>80</v>
      </c>
      <c r="AK31">
        <f t="shared" si="14"/>
        <v>2.3517962604773188E-4</v>
      </c>
      <c r="AL31">
        <v>75.422977000000003</v>
      </c>
      <c r="AM31">
        <f t="shared" si="15"/>
        <v>32.07037032395494</v>
      </c>
    </row>
    <row r="32" spans="1:39" x14ac:dyDescent="0.2">
      <c r="A32" s="1" t="s">
        <v>31</v>
      </c>
      <c r="B32" s="1">
        <v>390</v>
      </c>
      <c r="C32" s="1">
        <f t="shared" si="0"/>
        <v>195</v>
      </c>
      <c r="D32" s="1">
        <v>400</v>
      </c>
      <c r="E32" s="1">
        <f t="shared" si="1"/>
        <v>200</v>
      </c>
      <c r="F32" s="1">
        <v>15</v>
      </c>
      <c r="G32">
        <f t="shared" si="2"/>
        <v>1.0414379646650164E-3</v>
      </c>
      <c r="H32">
        <v>115.304272</v>
      </c>
      <c r="I32">
        <f t="shared" si="3"/>
        <v>11.071640934185474</v>
      </c>
      <c r="K32" s="1" t="s">
        <v>34</v>
      </c>
      <c r="L32" s="1">
        <v>150</v>
      </c>
      <c r="M32" s="1">
        <f t="shared" si="4"/>
        <v>75</v>
      </c>
      <c r="N32" s="1">
        <v>260</v>
      </c>
      <c r="O32" s="1">
        <f t="shared" si="5"/>
        <v>130</v>
      </c>
      <c r="P32" s="3">
        <v>50</v>
      </c>
      <c r="Q32">
        <f t="shared" si="6"/>
        <v>1.531526418625024E-4</v>
      </c>
      <c r="R32">
        <v>30.78453</v>
      </c>
      <c r="S32">
        <f t="shared" si="7"/>
        <v>20.100554339531264</v>
      </c>
      <c r="U32" s="1" t="s">
        <v>113</v>
      </c>
      <c r="V32" s="4">
        <v>150</v>
      </c>
      <c r="W32" s="4">
        <f t="shared" si="8"/>
        <v>75</v>
      </c>
      <c r="X32" s="4">
        <v>260</v>
      </c>
      <c r="Y32" s="4">
        <f t="shared" si="9"/>
        <v>130</v>
      </c>
      <c r="Z32" s="3">
        <v>35</v>
      </c>
      <c r="AA32">
        <f t="shared" si="10"/>
        <v>1.9909843442125316E-4</v>
      </c>
      <c r="AB32">
        <v>43.265200999999998</v>
      </c>
      <c r="AC32">
        <f t="shared" si="11"/>
        <v>21.730558116021815</v>
      </c>
      <c r="AE32" s="1" t="s">
        <v>114</v>
      </c>
      <c r="AF32" s="4">
        <v>390</v>
      </c>
      <c r="AG32" s="4">
        <f t="shared" si="12"/>
        <v>195</v>
      </c>
      <c r="AH32" s="4">
        <v>400</v>
      </c>
      <c r="AI32" s="4">
        <f t="shared" si="13"/>
        <v>200</v>
      </c>
      <c r="AJ32" s="3">
        <v>50</v>
      </c>
      <c r="AK32">
        <f t="shared" si="14"/>
        <v>6.1261056745000959E-4</v>
      </c>
      <c r="AL32">
        <v>68.445716000000004</v>
      </c>
      <c r="AM32">
        <f t="shared" si="15"/>
        <v>11.172793881911829</v>
      </c>
    </row>
    <row r="33" spans="1:39" x14ac:dyDescent="0.2">
      <c r="A33" s="1" t="s">
        <v>32</v>
      </c>
      <c r="B33" s="4">
        <v>380</v>
      </c>
      <c r="C33" s="1">
        <f t="shared" si="0"/>
        <v>190</v>
      </c>
      <c r="D33" s="4">
        <v>394</v>
      </c>
      <c r="E33" s="1">
        <f t="shared" si="1"/>
        <v>197</v>
      </c>
      <c r="F33" s="1">
        <v>4</v>
      </c>
      <c r="G33">
        <f t="shared" si="2"/>
        <v>1.1288622050291133E-3</v>
      </c>
      <c r="H33">
        <v>118.198021</v>
      </c>
      <c r="I33">
        <f t="shared" si="3"/>
        <v>10.470544630994327</v>
      </c>
      <c r="K33" s="1" t="s">
        <v>79</v>
      </c>
      <c r="L33" s="1">
        <v>250</v>
      </c>
      <c r="M33" s="1">
        <f t="shared" si="4"/>
        <v>125</v>
      </c>
      <c r="N33" s="1">
        <v>240</v>
      </c>
      <c r="O33" s="1">
        <f t="shared" si="5"/>
        <v>120</v>
      </c>
      <c r="P33" s="1">
        <v>8</v>
      </c>
      <c r="Q33">
        <f t="shared" si="6"/>
        <v>4.3353978619539143E-4</v>
      </c>
      <c r="R33">
        <v>44.490988999999999</v>
      </c>
      <c r="S33">
        <f t="shared" si="7"/>
        <v>10.262262061445133</v>
      </c>
      <c r="U33" s="1" t="s">
        <v>114</v>
      </c>
      <c r="V33" s="4">
        <v>250</v>
      </c>
      <c r="W33" s="4">
        <f t="shared" si="8"/>
        <v>125</v>
      </c>
      <c r="X33" s="4">
        <v>240</v>
      </c>
      <c r="Y33" s="4">
        <f t="shared" si="9"/>
        <v>120</v>
      </c>
      <c r="Z33" s="3">
        <v>40</v>
      </c>
      <c r="AA33">
        <f t="shared" si="10"/>
        <v>2.8274333882308131E-4</v>
      </c>
      <c r="AB33">
        <v>79.94408</v>
      </c>
      <c r="AC33">
        <f t="shared" si="11"/>
        <v>28.274434450964293</v>
      </c>
      <c r="AE33" s="1" t="s">
        <v>134</v>
      </c>
      <c r="AF33" s="4">
        <v>380</v>
      </c>
      <c r="AG33" s="4">
        <f t="shared" si="12"/>
        <v>190</v>
      </c>
      <c r="AH33" s="4">
        <v>394</v>
      </c>
      <c r="AI33" s="4">
        <f t="shared" si="13"/>
        <v>197</v>
      </c>
      <c r="AJ33" s="1">
        <v>4</v>
      </c>
      <c r="AK33">
        <f t="shared" si="14"/>
        <v>1.1288622050291133E-3</v>
      </c>
      <c r="AL33">
        <v>58.798544999999997</v>
      </c>
      <c r="AM33">
        <f t="shared" si="15"/>
        <v>5.2086556479657844</v>
      </c>
    </row>
    <row r="34" spans="1:39" x14ac:dyDescent="0.2">
      <c r="A34" s="1" t="s">
        <v>33</v>
      </c>
      <c r="B34" s="4">
        <v>380</v>
      </c>
      <c r="C34" s="1">
        <f t="shared" si="0"/>
        <v>190</v>
      </c>
      <c r="D34" s="4">
        <v>394</v>
      </c>
      <c r="E34" s="1">
        <f t="shared" si="1"/>
        <v>197</v>
      </c>
      <c r="F34" s="1">
        <v>2</v>
      </c>
      <c r="G34">
        <f t="shared" si="2"/>
        <v>1.1523801676338865E-3</v>
      </c>
      <c r="H34">
        <v>118.427907</v>
      </c>
      <c r="I34">
        <f t="shared" si="3"/>
        <v>10.276808845396999</v>
      </c>
      <c r="K34" s="1" t="s">
        <v>80</v>
      </c>
      <c r="L34" s="1">
        <v>250</v>
      </c>
      <c r="M34" s="1">
        <f t="shared" si="4"/>
        <v>125</v>
      </c>
      <c r="N34" s="1">
        <v>260</v>
      </c>
      <c r="O34" s="1">
        <f t="shared" si="5"/>
        <v>130</v>
      </c>
      <c r="P34" s="1">
        <v>0</v>
      </c>
      <c r="Q34">
        <f t="shared" si="6"/>
        <v>5.1050880620834131E-4</v>
      </c>
      <c r="R34">
        <v>47.083252999999999</v>
      </c>
      <c r="S34">
        <f t="shared" si="7"/>
        <v>9.2228091714416145</v>
      </c>
      <c r="U34" s="1" t="s">
        <v>115</v>
      </c>
      <c r="V34" s="4">
        <v>250</v>
      </c>
      <c r="W34" s="4">
        <f t="shared" si="8"/>
        <v>125</v>
      </c>
      <c r="X34" s="4">
        <v>260</v>
      </c>
      <c r="Y34" s="4">
        <f t="shared" si="9"/>
        <v>130</v>
      </c>
      <c r="Z34" s="3">
        <v>70</v>
      </c>
      <c r="AA34">
        <f t="shared" si="10"/>
        <v>1.5315264186250243E-4</v>
      </c>
      <c r="AB34">
        <v>30.171742999999999</v>
      </c>
      <c r="AC34">
        <f t="shared" si="11"/>
        <v>19.700439139069914</v>
      </c>
      <c r="AE34" s="1" t="s">
        <v>81</v>
      </c>
      <c r="AF34" s="4">
        <v>380</v>
      </c>
      <c r="AG34" s="4">
        <f t="shared" si="12"/>
        <v>190</v>
      </c>
      <c r="AH34" s="4">
        <v>394</v>
      </c>
      <c r="AI34" s="4">
        <f t="shared" si="13"/>
        <v>197</v>
      </c>
      <c r="AJ34" s="3">
        <v>40</v>
      </c>
      <c r="AK34">
        <f t="shared" si="14"/>
        <v>7.0553887814319577E-4</v>
      </c>
      <c r="AL34">
        <v>48.316096999999999</v>
      </c>
      <c r="AM34">
        <f t="shared" si="15"/>
        <v>6.8481126266430632</v>
      </c>
    </row>
    <row r="35" spans="1:39" x14ac:dyDescent="0.2">
      <c r="A35" s="1" t="s">
        <v>34</v>
      </c>
      <c r="B35" s="1">
        <v>410</v>
      </c>
      <c r="C35" s="1">
        <f t="shared" si="0"/>
        <v>205</v>
      </c>
      <c r="D35" s="1">
        <v>420</v>
      </c>
      <c r="E35" s="1">
        <f t="shared" si="1"/>
        <v>210</v>
      </c>
      <c r="F35" s="1">
        <v>2</v>
      </c>
      <c r="G35">
        <f t="shared" si="2"/>
        <v>1.3254065246229977E-3</v>
      </c>
      <c r="H35">
        <v>128.80507</v>
      </c>
      <c r="I35">
        <f t="shared" si="3"/>
        <v>9.718155721063594</v>
      </c>
      <c r="K35" s="1" t="s">
        <v>81</v>
      </c>
      <c r="L35" s="4">
        <v>250</v>
      </c>
      <c r="M35" s="1">
        <f t="shared" si="4"/>
        <v>125</v>
      </c>
      <c r="N35" s="4">
        <v>240</v>
      </c>
      <c r="O35" s="1">
        <f t="shared" si="5"/>
        <v>120</v>
      </c>
      <c r="P35" s="1">
        <v>2</v>
      </c>
      <c r="Q35">
        <f t="shared" si="6"/>
        <v>4.6181412007769953E-4</v>
      </c>
      <c r="R35">
        <v>45.266700999999998</v>
      </c>
      <c r="S35">
        <f t="shared" si="7"/>
        <v>9.8019309137589694</v>
      </c>
      <c r="U35" s="1" t="s">
        <v>116</v>
      </c>
      <c r="V35" s="4">
        <v>250</v>
      </c>
      <c r="W35" s="4">
        <f t="shared" si="8"/>
        <v>125</v>
      </c>
      <c r="X35" s="4">
        <v>240</v>
      </c>
      <c r="Y35" s="4">
        <f t="shared" si="9"/>
        <v>120</v>
      </c>
      <c r="Z35" s="1">
        <v>10</v>
      </c>
      <c r="AA35">
        <f t="shared" si="10"/>
        <v>4.24115008234622E-4</v>
      </c>
      <c r="AB35">
        <v>36.298971000000002</v>
      </c>
      <c r="AC35">
        <f t="shared" si="11"/>
        <v>8.558756538962017</v>
      </c>
      <c r="AE35" s="1" t="s">
        <v>38</v>
      </c>
      <c r="AF35" s="4">
        <v>410</v>
      </c>
      <c r="AG35" s="4">
        <f t="shared" si="12"/>
        <v>205</v>
      </c>
      <c r="AH35" s="4">
        <v>420</v>
      </c>
      <c r="AI35" s="4">
        <f t="shared" si="13"/>
        <v>210</v>
      </c>
      <c r="AJ35" s="1">
        <v>3</v>
      </c>
      <c r="AK35">
        <f t="shared" si="14"/>
        <v>1.3118819682492937E-3</v>
      </c>
      <c r="AL35">
        <v>69.976276999999996</v>
      </c>
      <c r="AM35">
        <f t="shared" si="15"/>
        <v>5.3340375653903784</v>
      </c>
    </row>
    <row r="36" spans="1:39" x14ac:dyDescent="0.2">
      <c r="A36" s="1" t="s">
        <v>35</v>
      </c>
      <c r="B36" s="4">
        <v>380</v>
      </c>
      <c r="C36" s="1">
        <f t="shared" si="0"/>
        <v>190</v>
      </c>
      <c r="D36" s="4">
        <v>394</v>
      </c>
      <c r="E36" s="1">
        <f t="shared" si="1"/>
        <v>197</v>
      </c>
      <c r="F36" s="1">
        <v>10</v>
      </c>
      <c r="G36">
        <f t="shared" si="2"/>
        <v>1.0583083172147937E-3</v>
      </c>
      <c r="H36">
        <v>116.86911499999999</v>
      </c>
      <c r="I36">
        <f t="shared" si="3"/>
        <v>11.043012050360774</v>
      </c>
      <c r="K36" s="1" t="s">
        <v>37</v>
      </c>
      <c r="L36" s="4">
        <v>250</v>
      </c>
      <c r="M36" s="1">
        <f t="shared" si="4"/>
        <v>125</v>
      </c>
      <c r="N36" s="4">
        <v>240</v>
      </c>
      <c r="O36" s="1">
        <f t="shared" si="5"/>
        <v>120</v>
      </c>
      <c r="P36" s="1">
        <v>2</v>
      </c>
      <c r="Q36">
        <f t="shared" si="6"/>
        <v>4.6181412007769953E-4</v>
      </c>
      <c r="R36">
        <v>44.876493000000004</v>
      </c>
      <c r="S36">
        <f t="shared" si="7"/>
        <v>9.7174363123521648</v>
      </c>
      <c r="U36" s="1" t="s">
        <v>81</v>
      </c>
      <c r="V36" s="4">
        <v>250</v>
      </c>
      <c r="W36" s="4">
        <f t="shared" si="8"/>
        <v>125</v>
      </c>
      <c r="X36" s="4">
        <v>240</v>
      </c>
      <c r="Y36" s="4">
        <f t="shared" si="9"/>
        <v>120</v>
      </c>
      <c r="Z36" s="3">
        <v>35</v>
      </c>
      <c r="AA36">
        <f t="shared" si="10"/>
        <v>3.063052837250048E-4</v>
      </c>
      <c r="AB36">
        <v>93.489242000000004</v>
      </c>
      <c r="AC36">
        <f t="shared" si="11"/>
        <v>30.52158972351679</v>
      </c>
      <c r="AE36" s="1" t="s">
        <v>83</v>
      </c>
      <c r="AF36" s="4">
        <v>380</v>
      </c>
      <c r="AG36" s="4">
        <f t="shared" si="12"/>
        <v>190</v>
      </c>
      <c r="AH36" s="4">
        <v>394</v>
      </c>
      <c r="AI36" s="4">
        <f t="shared" si="13"/>
        <v>197</v>
      </c>
      <c r="AJ36" s="3">
        <v>80</v>
      </c>
      <c r="AK36">
        <f t="shared" si="14"/>
        <v>2.3517962604773188E-4</v>
      </c>
      <c r="AL36">
        <v>60.109302</v>
      </c>
      <c r="AM36">
        <f t="shared" si="15"/>
        <v>25.558890032336503</v>
      </c>
    </row>
    <row r="37" spans="1:39" x14ac:dyDescent="0.2">
      <c r="A37" s="1" t="s">
        <v>36</v>
      </c>
      <c r="B37" s="4">
        <v>380</v>
      </c>
      <c r="C37" s="1">
        <f t="shared" si="0"/>
        <v>190</v>
      </c>
      <c r="D37" s="4">
        <v>394</v>
      </c>
      <c r="E37" s="1">
        <f t="shared" si="1"/>
        <v>197</v>
      </c>
      <c r="F37" s="1">
        <v>8</v>
      </c>
      <c r="G37">
        <f t="shared" si="2"/>
        <v>1.081826279819567E-3</v>
      </c>
      <c r="H37">
        <v>119.47248</v>
      </c>
      <c r="I37">
        <f t="shared" si="3"/>
        <v>11.043591954516607</v>
      </c>
      <c r="K37" s="1" t="s">
        <v>38</v>
      </c>
      <c r="L37" s="4">
        <v>250</v>
      </c>
      <c r="M37" s="1">
        <f t="shared" si="4"/>
        <v>125</v>
      </c>
      <c r="N37" s="4">
        <v>240</v>
      </c>
      <c r="O37" s="1">
        <f t="shared" si="5"/>
        <v>120</v>
      </c>
      <c r="P37" s="1">
        <v>2</v>
      </c>
      <c r="Q37">
        <f t="shared" si="6"/>
        <v>4.6181412007769953E-4</v>
      </c>
      <c r="R37">
        <v>42.361843</v>
      </c>
      <c r="S37">
        <f t="shared" si="7"/>
        <v>9.1729206965072194</v>
      </c>
      <c r="U37" s="1" t="s">
        <v>37</v>
      </c>
      <c r="V37" s="4">
        <v>250</v>
      </c>
      <c r="W37" s="4">
        <f t="shared" si="8"/>
        <v>125</v>
      </c>
      <c r="X37" s="4">
        <v>240</v>
      </c>
      <c r="Y37" s="4">
        <f t="shared" si="9"/>
        <v>120</v>
      </c>
      <c r="Z37" s="3">
        <v>85</v>
      </c>
      <c r="AA37">
        <f t="shared" si="10"/>
        <v>7.0685834705770355E-5</v>
      </c>
      <c r="AB37">
        <v>24.016076999999999</v>
      </c>
      <c r="AC37">
        <f t="shared" si="11"/>
        <v>33.975798828671785</v>
      </c>
      <c r="AE37" s="1" t="s">
        <v>85</v>
      </c>
      <c r="AF37" s="4">
        <v>380</v>
      </c>
      <c r="AG37" s="4">
        <f t="shared" si="12"/>
        <v>190</v>
      </c>
      <c r="AH37" s="4">
        <v>394</v>
      </c>
      <c r="AI37" s="4">
        <f t="shared" si="13"/>
        <v>197</v>
      </c>
      <c r="AJ37" s="1">
        <v>2</v>
      </c>
      <c r="AK37">
        <f t="shared" si="14"/>
        <v>1.1523801676338865E-3</v>
      </c>
      <c r="AL37">
        <v>58.377085999999998</v>
      </c>
      <c r="AM37">
        <f t="shared" si="15"/>
        <v>5.0657836397742066</v>
      </c>
    </row>
    <row r="38" spans="1:39" x14ac:dyDescent="0.2">
      <c r="A38" s="1" t="s">
        <v>37</v>
      </c>
      <c r="B38" s="1">
        <v>380</v>
      </c>
      <c r="C38" s="1">
        <f t="shared" si="0"/>
        <v>190</v>
      </c>
      <c r="D38" s="1">
        <v>410</v>
      </c>
      <c r="E38" s="1">
        <f t="shared" si="1"/>
        <v>205</v>
      </c>
      <c r="F38" s="1">
        <v>2</v>
      </c>
      <c r="G38">
        <f t="shared" si="2"/>
        <v>1.19917733180176E-3</v>
      </c>
      <c r="H38">
        <v>125.96778500000001</v>
      </c>
      <c r="I38">
        <f t="shared" si="3"/>
        <v>10.504516859965477</v>
      </c>
      <c r="K38" s="1" t="s">
        <v>82</v>
      </c>
      <c r="L38" s="4">
        <v>250</v>
      </c>
      <c r="M38" s="1">
        <f t="shared" si="4"/>
        <v>125</v>
      </c>
      <c r="N38" s="4">
        <v>240</v>
      </c>
      <c r="O38" s="1">
        <f t="shared" si="5"/>
        <v>120</v>
      </c>
      <c r="P38" s="1">
        <v>2</v>
      </c>
      <c r="Q38">
        <f t="shared" si="6"/>
        <v>4.6181412007769953E-4</v>
      </c>
      <c r="R38">
        <v>43.518782999999999</v>
      </c>
      <c r="S38">
        <f t="shared" si="7"/>
        <v>9.4234414038007408</v>
      </c>
      <c r="U38" s="1" t="s">
        <v>38</v>
      </c>
      <c r="V38" s="4">
        <v>250</v>
      </c>
      <c r="W38" s="4">
        <f t="shared" si="8"/>
        <v>125</v>
      </c>
      <c r="X38" s="4">
        <v>240</v>
      </c>
      <c r="Y38" s="4">
        <f t="shared" si="9"/>
        <v>120</v>
      </c>
      <c r="Z38" s="3">
        <v>15</v>
      </c>
      <c r="AA38">
        <f t="shared" si="10"/>
        <v>4.0055306333269857E-4</v>
      </c>
      <c r="AB38">
        <v>76.201364999999996</v>
      </c>
      <c r="AC38">
        <f t="shared" si="11"/>
        <v>19.02403750603882</v>
      </c>
      <c r="AE38" s="1" t="s">
        <v>41</v>
      </c>
      <c r="AF38" s="4">
        <v>380</v>
      </c>
      <c r="AG38" s="4">
        <f t="shared" si="12"/>
        <v>190</v>
      </c>
      <c r="AH38" s="4">
        <v>410</v>
      </c>
      <c r="AI38" s="4">
        <f t="shared" si="13"/>
        <v>205</v>
      </c>
      <c r="AJ38" s="1">
        <v>10</v>
      </c>
      <c r="AK38">
        <f t="shared" si="14"/>
        <v>1.1012853047159021E-3</v>
      </c>
      <c r="AL38">
        <v>55.348229000000003</v>
      </c>
      <c r="AM38">
        <f t="shared" si="15"/>
        <v>5.0257847592253269</v>
      </c>
    </row>
    <row r="39" spans="1:39" x14ac:dyDescent="0.2">
      <c r="A39" s="1" t="s">
        <v>38</v>
      </c>
      <c r="B39" s="4">
        <v>395</v>
      </c>
      <c r="C39" s="1">
        <f t="shared" si="0"/>
        <v>197.5</v>
      </c>
      <c r="D39" s="4">
        <v>410</v>
      </c>
      <c r="E39" s="1">
        <f t="shared" si="1"/>
        <v>205</v>
      </c>
      <c r="F39" s="1">
        <v>6</v>
      </c>
      <c r="G39">
        <f t="shared" si="2"/>
        <v>1.1956351860848374E-3</v>
      </c>
      <c r="H39">
        <v>118.542851</v>
      </c>
      <c r="I39">
        <f t="shared" si="3"/>
        <v>9.9146338598627253</v>
      </c>
      <c r="K39" s="1" t="s">
        <v>83</v>
      </c>
      <c r="L39" s="1">
        <v>250</v>
      </c>
      <c r="M39" s="1">
        <f t="shared" si="4"/>
        <v>125</v>
      </c>
      <c r="N39" s="1">
        <v>240</v>
      </c>
      <c r="O39" s="1">
        <f t="shared" si="5"/>
        <v>120</v>
      </c>
      <c r="P39" s="1">
        <v>3</v>
      </c>
      <c r="Q39">
        <f t="shared" si="6"/>
        <v>4.5710173109731486E-4</v>
      </c>
      <c r="R39">
        <v>42.065925999999997</v>
      </c>
      <c r="S39">
        <f t="shared" si="7"/>
        <v>9.2027492214953686</v>
      </c>
      <c r="U39" s="1" t="s">
        <v>39</v>
      </c>
      <c r="V39" s="4">
        <v>250</v>
      </c>
      <c r="W39" s="4">
        <f t="shared" si="8"/>
        <v>125</v>
      </c>
      <c r="X39" s="4">
        <v>240</v>
      </c>
      <c r="Y39" s="4">
        <f t="shared" si="9"/>
        <v>120</v>
      </c>
      <c r="Z39" s="3">
        <v>50</v>
      </c>
      <c r="AA39">
        <f t="shared" si="10"/>
        <v>2.3561944901923445E-4</v>
      </c>
      <c r="AB39">
        <v>34.188426999999997</v>
      </c>
      <c r="AC39">
        <f t="shared" si="11"/>
        <v>14.510019076230449</v>
      </c>
      <c r="AE39" s="1" t="s">
        <v>135</v>
      </c>
      <c r="AF39" s="4">
        <v>395</v>
      </c>
      <c r="AG39" s="4">
        <f t="shared" si="12"/>
        <v>197.5</v>
      </c>
      <c r="AH39" s="4">
        <v>410</v>
      </c>
      <c r="AI39" s="4">
        <f t="shared" si="13"/>
        <v>205</v>
      </c>
      <c r="AJ39" s="1">
        <v>10</v>
      </c>
      <c r="AK39">
        <f t="shared" si="14"/>
        <v>1.144757093059951E-3</v>
      </c>
      <c r="AL39">
        <v>69.010350000000003</v>
      </c>
      <c r="AM39">
        <f t="shared" si="15"/>
        <v>6.0283836997711386</v>
      </c>
    </row>
    <row r="40" spans="1:39" x14ac:dyDescent="0.2">
      <c r="A40" s="1" t="s">
        <v>39</v>
      </c>
      <c r="B40" s="1">
        <v>370</v>
      </c>
      <c r="C40" s="1">
        <f t="shared" si="0"/>
        <v>185</v>
      </c>
      <c r="D40" s="1">
        <v>400</v>
      </c>
      <c r="E40" s="1">
        <f t="shared" si="1"/>
        <v>200</v>
      </c>
      <c r="F40" s="1">
        <v>10</v>
      </c>
      <c r="G40">
        <f t="shared" si="2"/>
        <v>1.046150353645401E-3</v>
      </c>
      <c r="H40">
        <v>115.844708</v>
      </c>
      <c r="I40">
        <f t="shared" si="3"/>
        <v>11.073428173716056</v>
      </c>
      <c r="K40" s="1" t="s">
        <v>84</v>
      </c>
      <c r="L40" s="1">
        <v>190</v>
      </c>
      <c r="M40" s="1">
        <f t="shared" si="4"/>
        <v>95</v>
      </c>
      <c r="N40" s="1">
        <v>240</v>
      </c>
      <c r="O40" s="1">
        <f t="shared" si="5"/>
        <v>120</v>
      </c>
      <c r="P40" s="3">
        <v>25</v>
      </c>
      <c r="Q40">
        <f t="shared" si="6"/>
        <v>2.6860617188192732E-4</v>
      </c>
      <c r="R40">
        <v>42.586987000000001</v>
      </c>
      <c r="S40">
        <f t="shared" si="7"/>
        <v>15.854805830269678</v>
      </c>
      <c r="U40" s="1" t="s">
        <v>83</v>
      </c>
      <c r="V40" s="4">
        <v>190</v>
      </c>
      <c r="W40" s="4">
        <f t="shared" si="8"/>
        <v>95</v>
      </c>
      <c r="X40" s="4">
        <v>240</v>
      </c>
      <c r="Y40" s="4">
        <f t="shared" si="9"/>
        <v>120</v>
      </c>
      <c r="Z40" s="3">
        <v>55</v>
      </c>
      <c r="AA40">
        <f t="shared" si="10"/>
        <v>1.6116370312915635E-4</v>
      </c>
      <c r="AB40">
        <v>28.460173000000001</v>
      </c>
      <c r="AC40">
        <f t="shared" si="11"/>
        <v>17.659170425732935</v>
      </c>
      <c r="AE40" s="1" t="s">
        <v>136</v>
      </c>
      <c r="AF40" s="4">
        <v>370</v>
      </c>
      <c r="AG40" s="4">
        <f t="shared" si="12"/>
        <v>185</v>
      </c>
      <c r="AH40" s="4">
        <v>400</v>
      </c>
      <c r="AI40" s="4">
        <f t="shared" si="13"/>
        <v>200</v>
      </c>
      <c r="AJ40" s="3">
        <v>50</v>
      </c>
      <c r="AK40">
        <f t="shared" si="14"/>
        <v>5.8119464091411165E-4</v>
      </c>
      <c r="AL40">
        <v>31.682115</v>
      </c>
      <c r="AM40">
        <f t="shared" si="15"/>
        <v>5.4512056322766318</v>
      </c>
    </row>
    <row r="41" spans="1:39" x14ac:dyDescent="0.2">
      <c r="A41" s="7" t="s">
        <v>40</v>
      </c>
      <c r="B41" s="1">
        <v>400</v>
      </c>
      <c r="C41" s="1">
        <f t="shared" si="0"/>
        <v>200</v>
      </c>
      <c r="D41" s="1">
        <v>410</v>
      </c>
      <c r="E41" s="1">
        <f t="shared" si="1"/>
        <v>205</v>
      </c>
      <c r="F41" s="1">
        <v>4</v>
      </c>
      <c r="G41">
        <f t="shared" si="2"/>
        <v>1.2365308684529426E-3</v>
      </c>
      <c r="K41" s="1" t="s">
        <v>85</v>
      </c>
      <c r="L41" s="1">
        <v>260</v>
      </c>
      <c r="M41" s="1">
        <f t="shared" si="4"/>
        <v>130</v>
      </c>
      <c r="N41" s="1">
        <v>250</v>
      </c>
      <c r="O41" s="1">
        <f t="shared" si="5"/>
        <v>125</v>
      </c>
      <c r="P41" s="1">
        <v>5</v>
      </c>
      <c r="Q41">
        <f t="shared" si="6"/>
        <v>4.8498336589792424E-4</v>
      </c>
      <c r="R41">
        <v>48.409747000000003</v>
      </c>
      <c r="S41">
        <f t="shared" si="7"/>
        <v>9.9817334787084082</v>
      </c>
      <c r="U41" s="1" t="s">
        <v>84</v>
      </c>
      <c r="V41" s="4">
        <v>260</v>
      </c>
      <c r="W41" s="4">
        <f t="shared" si="8"/>
        <v>130</v>
      </c>
      <c r="X41" s="4">
        <v>250</v>
      </c>
      <c r="Y41" s="4">
        <f t="shared" si="9"/>
        <v>125</v>
      </c>
      <c r="Z41" s="3">
        <v>60</v>
      </c>
      <c r="AA41">
        <f t="shared" si="10"/>
        <v>2.0420352248333657E-4</v>
      </c>
      <c r="AB41">
        <v>44.415298999999997</v>
      </c>
      <c r="AC41">
        <f t="shared" si="11"/>
        <v>21.750505799244664</v>
      </c>
      <c r="AE41" s="1" t="s">
        <v>137</v>
      </c>
      <c r="AF41" s="4">
        <v>400</v>
      </c>
      <c r="AG41" s="4">
        <f t="shared" si="12"/>
        <v>200</v>
      </c>
      <c r="AH41" s="4">
        <v>410</v>
      </c>
      <c r="AI41" s="4">
        <f t="shared" si="13"/>
        <v>205</v>
      </c>
      <c r="AJ41" s="1">
        <v>14</v>
      </c>
      <c r="AK41">
        <f t="shared" si="14"/>
        <v>1.1077255696557611E-3</v>
      </c>
      <c r="AL41">
        <v>55.279665999999999</v>
      </c>
      <c r="AM41">
        <f t="shared" si="15"/>
        <v>4.990375550975032</v>
      </c>
    </row>
    <row r="42" spans="1:39" x14ac:dyDescent="0.2">
      <c r="A42" s="1" t="s">
        <v>41</v>
      </c>
      <c r="B42" s="1">
        <v>430</v>
      </c>
      <c r="C42" s="1">
        <f t="shared" si="0"/>
        <v>215</v>
      </c>
      <c r="D42" s="1">
        <v>420</v>
      </c>
      <c r="E42" s="1">
        <f t="shared" si="1"/>
        <v>210</v>
      </c>
      <c r="F42" s="1">
        <v>15</v>
      </c>
      <c r="G42">
        <f t="shared" si="2"/>
        <v>1.2056647206314228E-3</v>
      </c>
      <c r="H42">
        <v>138.85756799999999</v>
      </c>
      <c r="I42">
        <f t="shared" si="3"/>
        <v>11.517096388727243</v>
      </c>
      <c r="K42" s="1" t="s">
        <v>41</v>
      </c>
      <c r="L42" s="1">
        <v>160</v>
      </c>
      <c r="M42" s="1">
        <f t="shared" si="4"/>
        <v>80</v>
      </c>
      <c r="N42" s="1">
        <v>270</v>
      </c>
      <c r="O42" s="1">
        <f t="shared" si="5"/>
        <v>135</v>
      </c>
      <c r="P42" s="3">
        <v>45</v>
      </c>
      <c r="Q42">
        <f t="shared" si="6"/>
        <v>1.8661060362323373E-4</v>
      </c>
      <c r="R42">
        <v>13.029742000000001</v>
      </c>
      <c r="S42">
        <f t="shared" si="7"/>
        <v>6.9823159815221505</v>
      </c>
      <c r="U42" s="1" t="s">
        <v>85</v>
      </c>
      <c r="V42" s="4">
        <v>160</v>
      </c>
      <c r="W42" s="4">
        <f t="shared" si="8"/>
        <v>80</v>
      </c>
      <c r="X42" s="4">
        <v>270</v>
      </c>
      <c r="Y42" s="4">
        <f t="shared" si="9"/>
        <v>135</v>
      </c>
      <c r="Z42" s="3">
        <v>45</v>
      </c>
      <c r="AA42">
        <f t="shared" si="10"/>
        <v>1.8661060362323373E-4</v>
      </c>
      <c r="AB42">
        <v>41.129213</v>
      </c>
      <c r="AC42">
        <f t="shared" si="11"/>
        <v>22.040126445890376</v>
      </c>
      <c r="AE42" s="1" t="s">
        <v>45</v>
      </c>
      <c r="AF42" s="4">
        <v>430</v>
      </c>
      <c r="AG42" s="4">
        <f t="shared" si="12"/>
        <v>215</v>
      </c>
      <c r="AH42" s="4">
        <v>420</v>
      </c>
      <c r="AI42" s="4">
        <f t="shared" si="13"/>
        <v>210</v>
      </c>
      <c r="AJ42" s="1">
        <v>10</v>
      </c>
      <c r="AK42">
        <f t="shared" si="14"/>
        <v>1.2765861747862125E-3</v>
      </c>
      <c r="AL42">
        <v>67.512054000000006</v>
      </c>
      <c r="AM42">
        <f t="shared" si="15"/>
        <v>5.2884838746828917</v>
      </c>
    </row>
    <row r="43" spans="1:39" x14ac:dyDescent="0.2">
      <c r="A43" s="1" t="s">
        <v>43</v>
      </c>
      <c r="B43" s="1">
        <v>320</v>
      </c>
      <c r="C43" s="1">
        <f t="shared" si="0"/>
        <v>160</v>
      </c>
      <c r="D43" s="1">
        <v>390</v>
      </c>
      <c r="E43" s="1">
        <f t="shared" si="1"/>
        <v>195</v>
      </c>
      <c r="F43" s="1">
        <v>3</v>
      </c>
      <c r="G43">
        <f t="shared" si="2"/>
        <v>9.5077160068241504E-4</v>
      </c>
      <c r="H43">
        <v>26.136671</v>
      </c>
      <c r="I43">
        <f t="shared" si="3"/>
        <v>2.7489957610471789</v>
      </c>
      <c r="K43" s="1" t="s">
        <v>44</v>
      </c>
      <c r="L43" s="1">
        <v>250</v>
      </c>
      <c r="M43" s="1">
        <f t="shared" si="4"/>
        <v>125</v>
      </c>
      <c r="N43" s="1">
        <v>250</v>
      </c>
      <c r="O43" s="1">
        <f t="shared" si="5"/>
        <v>125</v>
      </c>
      <c r="P43" s="1">
        <v>8</v>
      </c>
      <c r="Q43">
        <f t="shared" si="6"/>
        <v>4.5160394395353282E-4</v>
      </c>
      <c r="R43">
        <v>48.414023</v>
      </c>
      <c r="S43">
        <f t="shared" si="7"/>
        <v>10.720460626663947</v>
      </c>
      <c r="U43" s="1" t="s">
        <v>41</v>
      </c>
      <c r="V43" s="4">
        <v>250</v>
      </c>
      <c r="W43" s="4">
        <f t="shared" si="8"/>
        <v>125</v>
      </c>
      <c r="X43" s="4">
        <v>250</v>
      </c>
      <c r="Y43" s="4">
        <f t="shared" si="9"/>
        <v>125</v>
      </c>
      <c r="Z43" s="3">
        <v>90</v>
      </c>
      <c r="AA43">
        <f t="shared" si="10"/>
        <v>4.9087385212340507E-5</v>
      </c>
      <c r="AB43">
        <v>35.922446999999998</v>
      </c>
      <c r="AC43">
        <f t="shared" si="11"/>
        <v>73.18060810248484</v>
      </c>
      <c r="AE43" s="1" t="s">
        <v>46</v>
      </c>
      <c r="AF43" s="4">
        <v>320</v>
      </c>
      <c r="AG43" s="4">
        <f t="shared" si="12"/>
        <v>160</v>
      </c>
      <c r="AH43" s="4">
        <v>390</v>
      </c>
      <c r="AI43" s="4">
        <f t="shared" si="13"/>
        <v>195</v>
      </c>
      <c r="AJ43" s="3">
        <v>65</v>
      </c>
      <c r="AK43">
        <f t="shared" si="14"/>
        <v>3.4306191777200539E-4</v>
      </c>
      <c r="AL43">
        <v>59.359144999999998</v>
      </c>
      <c r="AM43">
        <f t="shared" si="15"/>
        <v>17.302749715125575</v>
      </c>
    </row>
    <row r="44" spans="1:39" x14ac:dyDescent="0.2">
      <c r="A44" s="1" t="s">
        <v>42</v>
      </c>
      <c r="B44" s="4">
        <v>320</v>
      </c>
      <c r="C44" s="1">
        <f t="shared" si="0"/>
        <v>160</v>
      </c>
      <c r="D44" s="4">
        <v>390</v>
      </c>
      <c r="E44" s="1">
        <f t="shared" si="1"/>
        <v>195</v>
      </c>
      <c r="F44" s="1">
        <v>3</v>
      </c>
      <c r="G44">
        <f t="shared" si="2"/>
        <v>9.5077160068241504E-4</v>
      </c>
      <c r="H44">
        <v>117.22201099999999</v>
      </c>
      <c r="I44">
        <f t="shared" si="3"/>
        <v>12.329145182277642</v>
      </c>
      <c r="K44" s="1" t="s">
        <v>86</v>
      </c>
      <c r="L44" s="1">
        <v>260</v>
      </c>
      <c r="M44" s="1">
        <f t="shared" si="4"/>
        <v>130</v>
      </c>
      <c r="N44" s="1">
        <v>240</v>
      </c>
      <c r="O44" s="1">
        <f t="shared" si="5"/>
        <v>120</v>
      </c>
      <c r="P44" s="3">
        <v>40</v>
      </c>
      <c r="Q44">
        <f t="shared" si="6"/>
        <v>2.9405307237600462E-4</v>
      </c>
      <c r="R44">
        <v>28.337658000000001</v>
      </c>
      <c r="S44">
        <f t="shared" si="7"/>
        <v>9.636919543477763</v>
      </c>
      <c r="U44" s="1" t="s">
        <v>44</v>
      </c>
      <c r="V44" s="4">
        <v>260</v>
      </c>
      <c r="W44" s="4">
        <f t="shared" si="8"/>
        <v>130</v>
      </c>
      <c r="X44" s="4">
        <v>240</v>
      </c>
      <c r="Y44" s="4">
        <f t="shared" si="9"/>
        <v>120</v>
      </c>
      <c r="Z44" s="3">
        <v>80</v>
      </c>
      <c r="AA44">
        <f t="shared" si="10"/>
        <v>9.8017690792001516E-5</v>
      </c>
      <c r="AB44">
        <v>61.129676000000003</v>
      </c>
      <c r="AC44">
        <f t="shared" si="11"/>
        <v>62.365962211576949</v>
      </c>
      <c r="AE44" s="1" t="s">
        <v>119</v>
      </c>
      <c r="AF44" s="4">
        <v>320</v>
      </c>
      <c r="AG44" s="4">
        <f t="shared" si="12"/>
        <v>160</v>
      </c>
      <c r="AH44" s="4">
        <v>390</v>
      </c>
      <c r="AI44" s="4">
        <f t="shared" si="13"/>
        <v>195</v>
      </c>
      <c r="AJ44" s="1">
        <v>0</v>
      </c>
      <c r="AK44">
        <f t="shared" si="14"/>
        <v>9.8017690792001557E-4</v>
      </c>
      <c r="AL44">
        <v>63.236969999999999</v>
      </c>
      <c r="AM44">
        <f t="shared" si="15"/>
        <v>6.4515874113165976</v>
      </c>
    </row>
    <row r="45" spans="1:39" x14ac:dyDescent="0.2">
      <c r="A45" s="1" t="s">
        <v>44</v>
      </c>
      <c r="B45" s="1">
        <v>320</v>
      </c>
      <c r="C45" s="1">
        <f t="shared" si="0"/>
        <v>160</v>
      </c>
      <c r="D45" s="1">
        <v>380</v>
      </c>
      <c r="E45" s="1">
        <f t="shared" si="1"/>
        <v>190</v>
      </c>
      <c r="F45" s="1">
        <v>2</v>
      </c>
      <c r="G45">
        <f t="shared" si="2"/>
        <v>9.3594328335747123E-4</v>
      </c>
      <c r="H45">
        <v>54.731164999999997</v>
      </c>
      <c r="I45">
        <f t="shared" si="3"/>
        <v>5.847701027744451</v>
      </c>
      <c r="K45" s="1" t="s">
        <v>87</v>
      </c>
      <c r="L45" s="1">
        <v>260</v>
      </c>
      <c r="M45" s="1">
        <f t="shared" si="4"/>
        <v>130</v>
      </c>
      <c r="N45" s="1">
        <v>260</v>
      </c>
      <c r="O45" s="1">
        <f t="shared" si="5"/>
        <v>130</v>
      </c>
      <c r="P45" s="1">
        <v>10</v>
      </c>
      <c r="Q45">
        <f t="shared" si="6"/>
        <v>4.7783624261100749E-4</v>
      </c>
      <c r="R45">
        <v>48.733244999999997</v>
      </c>
      <c r="S45">
        <f t="shared" si="7"/>
        <v>10.19873351039894</v>
      </c>
      <c r="U45" s="1" t="s">
        <v>117</v>
      </c>
      <c r="V45" s="4">
        <v>260</v>
      </c>
      <c r="W45" s="4">
        <f t="shared" si="8"/>
        <v>130</v>
      </c>
      <c r="X45" s="4">
        <v>260</v>
      </c>
      <c r="Y45" s="4">
        <f t="shared" si="9"/>
        <v>130</v>
      </c>
      <c r="Z45" s="3">
        <v>40</v>
      </c>
      <c r="AA45">
        <f t="shared" si="10"/>
        <v>3.1855749507400498E-4</v>
      </c>
      <c r="AB45">
        <v>78.627274</v>
      </c>
      <c r="AC45">
        <f t="shared" si="11"/>
        <v>24.682286625129908</v>
      </c>
      <c r="AE45" s="1" t="s">
        <v>90</v>
      </c>
      <c r="AF45" s="4">
        <v>320</v>
      </c>
      <c r="AG45" s="4">
        <f t="shared" si="12"/>
        <v>160</v>
      </c>
      <c r="AH45" s="4">
        <v>380</v>
      </c>
      <c r="AI45" s="4">
        <f t="shared" si="13"/>
        <v>190</v>
      </c>
      <c r="AJ45" s="3">
        <v>40</v>
      </c>
      <c r="AK45">
        <f t="shared" si="14"/>
        <v>5.7302650001477831E-4</v>
      </c>
      <c r="AL45">
        <v>58.320622</v>
      </c>
      <c r="AM45">
        <f t="shared" si="15"/>
        <v>10.177648328392477</v>
      </c>
    </row>
    <row r="46" spans="1:39" x14ac:dyDescent="0.2">
      <c r="A46" s="1" t="s">
        <v>45</v>
      </c>
      <c r="B46" s="1">
        <v>370</v>
      </c>
      <c r="C46" s="1">
        <f t="shared" si="0"/>
        <v>185</v>
      </c>
      <c r="D46" s="1">
        <v>390</v>
      </c>
      <c r="E46" s="1">
        <f t="shared" si="1"/>
        <v>195</v>
      </c>
      <c r="F46" s="1">
        <v>6</v>
      </c>
      <c r="G46">
        <f t="shared" si="2"/>
        <v>1.0653297767955667E-3</v>
      </c>
      <c r="H46">
        <v>112.85416499999999</v>
      </c>
      <c r="I46">
        <f t="shared" si="3"/>
        <v>10.593354983417154</v>
      </c>
      <c r="K46" s="1" t="s">
        <v>88</v>
      </c>
      <c r="L46" s="1">
        <v>220</v>
      </c>
      <c r="M46" s="1">
        <f t="shared" si="4"/>
        <v>110</v>
      </c>
      <c r="N46" s="1">
        <v>244</v>
      </c>
      <c r="O46" s="1">
        <f t="shared" si="5"/>
        <v>122</v>
      </c>
      <c r="P46" s="3">
        <v>45</v>
      </c>
      <c r="Q46">
        <f t="shared" si="6"/>
        <v>2.3188095376146267E-4</v>
      </c>
      <c r="R46">
        <v>42.838858999999999</v>
      </c>
      <c r="S46">
        <f t="shared" si="7"/>
        <v>18.47450526017268</v>
      </c>
      <c r="U46" s="1" t="s">
        <v>87</v>
      </c>
      <c r="V46" s="4">
        <v>220</v>
      </c>
      <c r="W46" s="4">
        <f t="shared" si="8"/>
        <v>110</v>
      </c>
      <c r="X46" s="4">
        <v>244</v>
      </c>
      <c r="Y46" s="4">
        <f t="shared" si="9"/>
        <v>122</v>
      </c>
      <c r="Z46" s="3">
        <v>60</v>
      </c>
      <c r="AA46">
        <f t="shared" si="10"/>
        <v>1.6864069364470012E-4</v>
      </c>
      <c r="AB46">
        <v>70.643754999999999</v>
      </c>
      <c r="AC46">
        <f t="shared" si="11"/>
        <v>41.890099876388952</v>
      </c>
      <c r="AE46" s="1" t="s">
        <v>138</v>
      </c>
      <c r="AF46" s="4">
        <v>370</v>
      </c>
      <c r="AG46" s="4">
        <f t="shared" si="12"/>
        <v>185</v>
      </c>
      <c r="AH46" s="4">
        <v>390</v>
      </c>
      <c r="AI46" s="4">
        <f t="shared" si="13"/>
        <v>195</v>
      </c>
      <c r="AJ46" s="3">
        <v>90</v>
      </c>
      <c r="AK46">
        <f t="shared" si="14"/>
        <v>1.1333295497825177E-4</v>
      </c>
      <c r="AL46">
        <v>74.204981000000004</v>
      </c>
      <c r="AM46">
        <f t="shared" si="15"/>
        <v>65.475201819488163</v>
      </c>
    </row>
    <row r="47" spans="1:39" x14ac:dyDescent="0.2">
      <c r="A47" s="1" t="s">
        <v>46</v>
      </c>
      <c r="B47" s="4">
        <v>356</v>
      </c>
      <c r="C47" s="1">
        <f t="shared" si="0"/>
        <v>178</v>
      </c>
      <c r="D47" s="4">
        <v>386</v>
      </c>
      <c r="E47" s="1">
        <f t="shared" si="1"/>
        <v>193</v>
      </c>
      <c r="F47" s="1">
        <v>15</v>
      </c>
      <c r="G47">
        <f t="shared" si="2"/>
        <v>9.1737332918210191E-4</v>
      </c>
      <c r="H47">
        <v>106.65932599999999</v>
      </c>
      <c r="I47">
        <f t="shared" si="3"/>
        <v>11.626599837504948</v>
      </c>
      <c r="K47" s="1" t="s">
        <v>89</v>
      </c>
      <c r="L47" s="4">
        <v>248</v>
      </c>
      <c r="M47" s="1">
        <f t="shared" si="4"/>
        <v>124</v>
      </c>
      <c r="N47" s="4">
        <v>248</v>
      </c>
      <c r="O47" s="1">
        <f t="shared" si="5"/>
        <v>124</v>
      </c>
      <c r="P47" s="1">
        <v>3</v>
      </c>
      <c r="Q47">
        <f t="shared" si="6"/>
        <v>4.6855974782348755E-4</v>
      </c>
      <c r="R47">
        <v>48.538676000000002</v>
      </c>
      <c r="S47">
        <f t="shared" si="7"/>
        <v>10.359122017089089</v>
      </c>
      <c r="U47" s="1" t="s">
        <v>89</v>
      </c>
      <c r="V47" s="4">
        <v>248</v>
      </c>
      <c r="W47" s="4">
        <f t="shared" si="8"/>
        <v>124</v>
      </c>
      <c r="X47" s="4">
        <v>248</v>
      </c>
      <c r="Y47" s="4">
        <f t="shared" si="9"/>
        <v>124</v>
      </c>
      <c r="Z47" s="3">
        <v>80</v>
      </c>
      <c r="AA47">
        <f t="shared" si="10"/>
        <v>9.6610257283193297E-5</v>
      </c>
      <c r="AB47">
        <v>28.590598</v>
      </c>
      <c r="AC47">
        <f t="shared" si="11"/>
        <v>29.593749984737627</v>
      </c>
      <c r="AE47" s="1" t="s">
        <v>49</v>
      </c>
      <c r="AF47" s="4">
        <v>356</v>
      </c>
      <c r="AG47" s="4">
        <f t="shared" si="12"/>
        <v>178</v>
      </c>
      <c r="AH47" s="4">
        <v>386</v>
      </c>
      <c r="AI47" s="4">
        <f t="shared" si="13"/>
        <v>193</v>
      </c>
      <c r="AJ47" s="3">
        <v>85</v>
      </c>
      <c r="AK47">
        <f t="shared" si="14"/>
        <v>1.6188941103213568E-4</v>
      </c>
      <c r="AL47">
        <v>69.248303000000007</v>
      </c>
      <c r="AM47">
        <f t="shared" si="15"/>
        <v>42.775066360735572</v>
      </c>
    </row>
    <row r="48" spans="1:39" x14ac:dyDescent="0.2">
      <c r="A48" s="1" t="s">
        <v>47</v>
      </c>
      <c r="B48" s="1">
        <v>380</v>
      </c>
      <c r="C48" s="1">
        <f t="shared" si="0"/>
        <v>190</v>
      </c>
      <c r="D48" s="1">
        <v>390</v>
      </c>
      <c r="E48" s="1">
        <f t="shared" si="1"/>
        <v>195</v>
      </c>
      <c r="F48" s="1">
        <v>3</v>
      </c>
      <c r="G48">
        <f t="shared" si="2"/>
        <v>1.1290412758103677E-3</v>
      </c>
      <c r="H48">
        <v>118.075011</v>
      </c>
      <c r="I48">
        <f t="shared" si="3"/>
        <v>10.457988873369739</v>
      </c>
      <c r="K48" s="1" t="s">
        <v>90</v>
      </c>
      <c r="L48" s="1">
        <v>259</v>
      </c>
      <c r="M48" s="1">
        <f t="shared" si="4"/>
        <v>129.5</v>
      </c>
      <c r="N48" s="1">
        <v>280</v>
      </c>
      <c r="O48" s="1">
        <f t="shared" si="5"/>
        <v>140</v>
      </c>
      <c r="P48" s="3">
        <v>65</v>
      </c>
      <c r="Q48">
        <f t="shared" si="6"/>
        <v>1.993497618335403E-4</v>
      </c>
      <c r="R48">
        <v>35.597665999999997</v>
      </c>
      <c r="S48">
        <f t="shared" si="7"/>
        <v>17.856889154311869</v>
      </c>
      <c r="U48" s="1" t="s">
        <v>118</v>
      </c>
      <c r="V48" s="4">
        <v>259</v>
      </c>
      <c r="W48" s="4">
        <f t="shared" si="8"/>
        <v>129.5</v>
      </c>
      <c r="X48" s="4">
        <v>280</v>
      </c>
      <c r="Y48" s="4">
        <f t="shared" si="9"/>
        <v>140</v>
      </c>
      <c r="Z48" s="3">
        <v>50</v>
      </c>
      <c r="AA48">
        <f t="shared" si="10"/>
        <v>2.8478537404791473E-4</v>
      </c>
      <c r="AB48">
        <v>34.266896000000003</v>
      </c>
      <c r="AC48">
        <f t="shared" si="11"/>
        <v>12.032533663134908</v>
      </c>
      <c r="AE48" s="1" t="s">
        <v>91</v>
      </c>
      <c r="AF48" s="4">
        <v>380</v>
      </c>
      <c r="AG48" s="4">
        <f t="shared" si="12"/>
        <v>190</v>
      </c>
      <c r="AH48" s="4">
        <v>390</v>
      </c>
      <c r="AI48" s="4">
        <f t="shared" si="13"/>
        <v>195</v>
      </c>
      <c r="AJ48" s="1">
        <v>9</v>
      </c>
      <c r="AK48">
        <f t="shared" si="14"/>
        <v>1.0592036711210668E-3</v>
      </c>
      <c r="AL48">
        <v>67.06438</v>
      </c>
      <c r="AM48">
        <f t="shared" si="15"/>
        <v>6.3315849282337462</v>
      </c>
    </row>
    <row r="49" spans="1:39" x14ac:dyDescent="0.2">
      <c r="A49" s="1" t="s">
        <v>48</v>
      </c>
      <c r="B49" s="4">
        <v>356</v>
      </c>
      <c r="C49" s="1">
        <f t="shared" si="0"/>
        <v>178</v>
      </c>
      <c r="D49" s="4">
        <v>386</v>
      </c>
      <c r="E49" s="1">
        <f t="shared" si="1"/>
        <v>193</v>
      </c>
      <c r="F49" s="1">
        <v>2</v>
      </c>
      <c r="G49">
        <f t="shared" si="2"/>
        <v>1.0576774854099528E-3</v>
      </c>
      <c r="H49">
        <v>121.811677</v>
      </c>
      <c r="I49">
        <f t="shared" si="3"/>
        <v>11.516901766400572</v>
      </c>
      <c r="K49" s="1" t="s">
        <v>91</v>
      </c>
      <c r="L49" s="1">
        <v>260</v>
      </c>
      <c r="M49" s="1">
        <f t="shared" si="4"/>
        <v>130</v>
      </c>
      <c r="N49" s="1">
        <v>260</v>
      </c>
      <c r="O49" s="1">
        <f t="shared" si="5"/>
        <v>130</v>
      </c>
      <c r="P49" s="3">
        <v>10</v>
      </c>
      <c r="Q49">
        <f t="shared" si="6"/>
        <v>4.7783624261100749E-4</v>
      </c>
      <c r="R49">
        <v>48.217101999999997</v>
      </c>
      <c r="S49">
        <f t="shared" si="7"/>
        <v>10.090716797983056</v>
      </c>
      <c r="U49" s="1" t="s">
        <v>119</v>
      </c>
      <c r="V49" s="4">
        <v>260</v>
      </c>
      <c r="W49" s="4">
        <f t="shared" si="8"/>
        <v>130</v>
      </c>
      <c r="X49" s="4">
        <v>260</v>
      </c>
      <c r="Y49" s="4">
        <f t="shared" si="9"/>
        <v>130</v>
      </c>
      <c r="Z49" s="3">
        <v>30</v>
      </c>
      <c r="AA49">
        <f t="shared" si="10"/>
        <v>3.7165041091967248E-4</v>
      </c>
      <c r="AB49">
        <v>29.404796999999999</v>
      </c>
      <c r="AC49">
        <f t="shared" si="11"/>
        <v>7.9119506224238974</v>
      </c>
      <c r="AE49" s="1" t="s">
        <v>51</v>
      </c>
      <c r="AF49" s="4">
        <v>356</v>
      </c>
      <c r="AG49" s="4">
        <f t="shared" si="12"/>
        <v>178</v>
      </c>
      <c r="AH49" s="4">
        <v>386</v>
      </c>
      <c r="AI49" s="4">
        <f t="shared" si="13"/>
        <v>193</v>
      </c>
      <c r="AJ49" s="3">
        <v>40</v>
      </c>
      <c r="AK49">
        <f t="shared" si="14"/>
        <v>6.4755764412854249E-4</v>
      </c>
      <c r="AL49">
        <v>74.670804000000004</v>
      </c>
      <c r="AM49">
        <f t="shared" si="15"/>
        <v>11.53114393398738</v>
      </c>
    </row>
    <row r="50" spans="1:39" x14ac:dyDescent="0.2">
      <c r="A50" s="1" t="s">
        <v>49</v>
      </c>
      <c r="B50" s="1">
        <v>360</v>
      </c>
      <c r="C50" s="1">
        <f t="shared" si="0"/>
        <v>180</v>
      </c>
      <c r="D50" s="1">
        <v>380</v>
      </c>
      <c r="E50" s="1">
        <f t="shared" si="1"/>
        <v>190</v>
      </c>
      <c r="F50" s="1">
        <v>6</v>
      </c>
      <c r="G50">
        <f t="shared" si="2"/>
        <v>1.0099592062760468E-3</v>
      </c>
      <c r="H50">
        <v>114.44925600000001</v>
      </c>
      <c r="I50">
        <f t="shared" si="3"/>
        <v>11.332067205169691</v>
      </c>
      <c r="K50" s="1" t="s">
        <v>92</v>
      </c>
      <c r="L50" s="1">
        <v>263</v>
      </c>
      <c r="M50" s="1">
        <f t="shared" si="4"/>
        <v>131.5</v>
      </c>
      <c r="N50" s="1">
        <v>260</v>
      </c>
      <c r="O50" s="1">
        <f t="shared" si="5"/>
        <v>130</v>
      </c>
      <c r="P50" s="3">
        <v>20</v>
      </c>
      <c r="Q50">
        <f t="shared" si="6"/>
        <v>4.2964421130494009E-4</v>
      </c>
      <c r="R50">
        <v>39.966712999999999</v>
      </c>
      <c r="S50">
        <f t="shared" si="7"/>
        <v>9.3022812709638991</v>
      </c>
      <c r="U50" s="1" t="s">
        <v>90</v>
      </c>
      <c r="V50" s="4">
        <v>263</v>
      </c>
      <c r="W50" s="4">
        <f t="shared" si="8"/>
        <v>131.5</v>
      </c>
      <c r="X50" s="4">
        <v>260</v>
      </c>
      <c r="Y50" s="4">
        <f t="shared" si="9"/>
        <v>130</v>
      </c>
      <c r="Z50" s="1">
        <v>5</v>
      </c>
      <c r="AA50">
        <f t="shared" si="10"/>
        <v>5.1020250092461631E-4</v>
      </c>
      <c r="AB50">
        <v>39.914329000000002</v>
      </c>
      <c r="AC50">
        <f t="shared" si="11"/>
        <v>7.8232327218438007</v>
      </c>
      <c r="AE50" s="1" t="s">
        <v>53</v>
      </c>
      <c r="AF50" s="4">
        <v>360</v>
      </c>
      <c r="AG50" s="4">
        <f t="shared" si="12"/>
        <v>180</v>
      </c>
      <c r="AH50" s="4">
        <v>380</v>
      </c>
      <c r="AI50" s="4">
        <f t="shared" si="13"/>
        <v>190</v>
      </c>
      <c r="AJ50" s="3">
        <v>70</v>
      </c>
      <c r="AK50">
        <f t="shared" si="14"/>
        <v>3.2232740625831282E-4</v>
      </c>
      <c r="AL50">
        <v>71.151926000000003</v>
      </c>
      <c r="AM50">
        <f t="shared" si="15"/>
        <v>22.074426380913739</v>
      </c>
    </row>
    <row r="51" spans="1:39" x14ac:dyDescent="0.2">
      <c r="A51" s="1" t="s">
        <v>50</v>
      </c>
      <c r="B51" s="1">
        <v>370</v>
      </c>
      <c r="C51" s="1">
        <f t="shared" si="0"/>
        <v>185</v>
      </c>
      <c r="D51" s="1">
        <v>380</v>
      </c>
      <c r="E51" s="1">
        <f t="shared" si="1"/>
        <v>190</v>
      </c>
      <c r="F51" s="1">
        <v>3</v>
      </c>
      <c r="G51">
        <f t="shared" si="2"/>
        <v>1.0711417232047078E-3</v>
      </c>
      <c r="H51">
        <v>125.17124800000001</v>
      </c>
      <c r="I51">
        <f t="shared" si="3"/>
        <v>11.685778388456848</v>
      </c>
      <c r="K51" s="1" t="s">
        <v>51</v>
      </c>
      <c r="L51" s="4">
        <v>280</v>
      </c>
      <c r="M51" s="1">
        <f t="shared" si="4"/>
        <v>140</v>
      </c>
      <c r="N51" s="4">
        <v>270</v>
      </c>
      <c r="O51" s="1">
        <f t="shared" si="5"/>
        <v>135</v>
      </c>
      <c r="P51" s="1">
        <v>6</v>
      </c>
      <c r="Q51">
        <f t="shared" si="6"/>
        <v>5.581353508367626E-4</v>
      </c>
      <c r="R51">
        <v>45.503605</v>
      </c>
      <c r="S51">
        <f t="shared" si="7"/>
        <v>8.152790345886622</v>
      </c>
      <c r="U51" s="1" t="s">
        <v>120</v>
      </c>
      <c r="V51" s="4">
        <v>280</v>
      </c>
      <c r="W51" s="4">
        <f t="shared" si="8"/>
        <v>140</v>
      </c>
      <c r="X51" s="4">
        <v>270</v>
      </c>
      <c r="Y51" s="4">
        <f t="shared" si="9"/>
        <v>135</v>
      </c>
      <c r="Z51" s="3">
        <v>70</v>
      </c>
      <c r="AA51">
        <f t="shared" si="10"/>
        <v>1.7812830345854128E-4</v>
      </c>
      <c r="AB51">
        <v>54.295589999999997</v>
      </c>
      <c r="AC51">
        <f t="shared" si="11"/>
        <v>30.481169441237675</v>
      </c>
      <c r="AE51" s="1" t="s">
        <v>54</v>
      </c>
      <c r="AF51" s="4">
        <v>370</v>
      </c>
      <c r="AG51" s="4">
        <f t="shared" si="12"/>
        <v>185</v>
      </c>
      <c r="AH51" s="4">
        <v>380</v>
      </c>
      <c r="AI51" s="4">
        <f t="shared" si="13"/>
        <v>190</v>
      </c>
      <c r="AJ51" s="3">
        <v>90</v>
      </c>
      <c r="AK51">
        <f t="shared" si="14"/>
        <v>1.1042698177368119E-4</v>
      </c>
      <c r="AL51">
        <v>70.353371999999993</v>
      </c>
      <c r="AM51">
        <f t="shared" si="15"/>
        <v>63.710309627214492</v>
      </c>
    </row>
    <row r="52" spans="1:39" x14ac:dyDescent="0.2">
      <c r="A52" s="1" t="s">
        <v>51</v>
      </c>
      <c r="B52" s="1">
        <v>290</v>
      </c>
      <c r="C52" s="1">
        <f t="shared" si="0"/>
        <v>145</v>
      </c>
      <c r="D52" s="1">
        <v>360</v>
      </c>
      <c r="E52" s="1">
        <f t="shared" si="1"/>
        <v>180</v>
      </c>
      <c r="F52" s="1">
        <v>1</v>
      </c>
      <c r="G52">
        <f t="shared" si="2"/>
        <v>8.1175612576106667E-4</v>
      </c>
      <c r="H52">
        <v>59.403509</v>
      </c>
      <c r="I52">
        <f t="shared" si="3"/>
        <v>7.3179009205881753</v>
      </c>
      <c r="K52" s="1" t="s">
        <v>52</v>
      </c>
      <c r="L52" s="4">
        <v>280</v>
      </c>
      <c r="M52" s="1">
        <f t="shared" si="4"/>
        <v>140</v>
      </c>
      <c r="N52" s="4">
        <v>270</v>
      </c>
      <c r="O52" s="1">
        <f t="shared" si="5"/>
        <v>135</v>
      </c>
      <c r="P52" s="1">
        <v>2</v>
      </c>
      <c r="Q52">
        <f t="shared" si="6"/>
        <v>5.8188579129790142E-4</v>
      </c>
      <c r="R52">
        <v>46.504035000000002</v>
      </c>
      <c r="S52">
        <f t="shared" si="7"/>
        <v>7.9919523204497471</v>
      </c>
      <c r="U52" s="1" t="s">
        <v>51</v>
      </c>
      <c r="V52" s="4">
        <v>280</v>
      </c>
      <c r="W52" s="4">
        <f t="shared" si="8"/>
        <v>140</v>
      </c>
      <c r="X52" s="4">
        <v>270</v>
      </c>
      <c r="Y52" s="4">
        <f t="shared" si="9"/>
        <v>135</v>
      </c>
      <c r="Z52" s="3">
        <v>65</v>
      </c>
      <c r="AA52">
        <f t="shared" si="10"/>
        <v>2.078163540349648E-4</v>
      </c>
      <c r="AB52">
        <v>34.487336999999997</v>
      </c>
      <c r="AC52">
        <f t="shared" si="11"/>
        <v>16.595102517387804</v>
      </c>
      <c r="AE52" s="1" t="s">
        <v>122</v>
      </c>
      <c r="AF52" s="4">
        <v>290</v>
      </c>
      <c r="AG52" s="4">
        <f t="shared" si="12"/>
        <v>145</v>
      </c>
      <c r="AH52" s="4">
        <v>360</v>
      </c>
      <c r="AI52" s="4">
        <f t="shared" si="13"/>
        <v>180</v>
      </c>
      <c r="AJ52" s="3">
        <v>90</v>
      </c>
      <c r="AK52">
        <f t="shared" si="14"/>
        <v>8.199556825869359E-5</v>
      </c>
      <c r="AL52">
        <v>64.245244</v>
      </c>
      <c r="AM52">
        <f t="shared" si="15"/>
        <v>78.352093124482238</v>
      </c>
    </row>
    <row r="53" spans="1:39" x14ac:dyDescent="0.2">
      <c r="A53" s="1" t="s">
        <v>52</v>
      </c>
      <c r="B53" s="1">
        <v>330</v>
      </c>
      <c r="C53" s="1">
        <f t="shared" si="0"/>
        <v>165</v>
      </c>
      <c r="D53" s="1">
        <v>360</v>
      </c>
      <c r="E53" s="1">
        <f t="shared" si="1"/>
        <v>180</v>
      </c>
      <c r="F53" s="1">
        <v>4</v>
      </c>
      <c r="G53">
        <f t="shared" si="2"/>
        <v>8.9573089739152162E-4</v>
      </c>
      <c r="H53">
        <v>114.465388</v>
      </c>
      <c r="I53">
        <f t="shared" si="3"/>
        <v>12.778992924475116</v>
      </c>
      <c r="K53" s="1" t="s">
        <v>53</v>
      </c>
      <c r="L53" s="4">
        <v>280</v>
      </c>
      <c r="M53" s="1">
        <f t="shared" si="4"/>
        <v>140</v>
      </c>
      <c r="N53" s="4">
        <v>270</v>
      </c>
      <c r="O53" s="1">
        <f t="shared" si="5"/>
        <v>135</v>
      </c>
      <c r="P53" s="1">
        <v>3</v>
      </c>
      <c r="Q53">
        <f t="shared" si="6"/>
        <v>5.7594818118261672E-4</v>
      </c>
      <c r="R53">
        <v>46.241045</v>
      </c>
      <c r="S53">
        <f t="shared" si="7"/>
        <v>8.0286814874649792</v>
      </c>
      <c r="U53" s="1" t="s">
        <v>52</v>
      </c>
      <c r="V53" s="4">
        <v>280</v>
      </c>
      <c r="W53" s="4">
        <f t="shared" si="8"/>
        <v>140</v>
      </c>
      <c r="X53" s="4">
        <v>270</v>
      </c>
      <c r="Y53" s="4">
        <f t="shared" si="9"/>
        <v>135</v>
      </c>
      <c r="Z53" s="3">
        <v>70</v>
      </c>
      <c r="AA53">
        <f t="shared" si="10"/>
        <v>1.7812830345854128E-4</v>
      </c>
      <c r="AB53">
        <v>32.720816999999997</v>
      </c>
      <c r="AC53">
        <f t="shared" si="11"/>
        <v>18.369240802664272</v>
      </c>
      <c r="AE53" s="1" t="s">
        <v>139</v>
      </c>
      <c r="AF53" s="4">
        <v>330</v>
      </c>
      <c r="AG53" s="4">
        <f t="shared" si="12"/>
        <v>165</v>
      </c>
      <c r="AH53" s="4">
        <v>360</v>
      </c>
      <c r="AI53" s="4">
        <f t="shared" si="13"/>
        <v>180</v>
      </c>
      <c r="AJ53" s="3">
        <v>60</v>
      </c>
      <c r="AK53">
        <f t="shared" si="14"/>
        <v>3.7322120724646741E-4</v>
      </c>
      <c r="AL53">
        <v>72.424368000000001</v>
      </c>
      <c r="AM53">
        <f t="shared" si="15"/>
        <v>19.405212403209575</v>
      </c>
    </row>
    <row r="54" spans="1:39" x14ac:dyDescent="0.2">
      <c r="A54" s="1" t="s">
        <v>53</v>
      </c>
      <c r="B54" s="1">
        <v>350</v>
      </c>
      <c r="C54" s="1">
        <f t="shared" si="0"/>
        <v>175</v>
      </c>
      <c r="D54" s="1">
        <v>370</v>
      </c>
      <c r="E54" s="1">
        <f t="shared" si="1"/>
        <v>185</v>
      </c>
      <c r="F54" s="1">
        <v>10</v>
      </c>
      <c r="G54">
        <f t="shared" si="2"/>
        <v>9.1538155943972593E-4</v>
      </c>
      <c r="H54">
        <v>111.184462</v>
      </c>
      <c r="I54">
        <f t="shared" si="3"/>
        <v>12.146242280437924</v>
      </c>
      <c r="K54" s="1" t="s">
        <v>93</v>
      </c>
      <c r="L54" s="4">
        <v>280</v>
      </c>
      <c r="M54" s="1">
        <f t="shared" si="4"/>
        <v>140</v>
      </c>
      <c r="N54" s="4">
        <v>270</v>
      </c>
      <c r="O54" s="1">
        <f t="shared" si="5"/>
        <v>135</v>
      </c>
      <c r="P54" s="1">
        <v>2</v>
      </c>
      <c r="Q54">
        <f t="shared" si="6"/>
        <v>5.8188579129790142E-4</v>
      </c>
      <c r="R54">
        <v>48.947699</v>
      </c>
      <c r="S54">
        <f t="shared" si="7"/>
        <v>8.411908269975406</v>
      </c>
      <c r="U54" s="1" t="s">
        <v>121</v>
      </c>
      <c r="V54" s="4">
        <v>280</v>
      </c>
      <c r="W54" s="4">
        <f t="shared" si="8"/>
        <v>140</v>
      </c>
      <c r="X54" s="4">
        <v>270</v>
      </c>
      <c r="Y54" s="4">
        <f t="shared" si="9"/>
        <v>135</v>
      </c>
      <c r="Z54" s="3">
        <v>75</v>
      </c>
      <c r="AA54">
        <f t="shared" si="10"/>
        <v>1.4844025288211771E-4</v>
      </c>
      <c r="AB54">
        <v>22.851438999999999</v>
      </c>
      <c r="AC54">
        <f t="shared" si="11"/>
        <v>15.394368142276903</v>
      </c>
      <c r="AE54" s="1" t="s">
        <v>140</v>
      </c>
      <c r="AF54" s="4">
        <v>350</v>
      </c>
      <c r="AG54" s="4">
        <f t="shared" si="12"/>
        <v>175</v>
      </c>
      <c r="AH54" s="4">
        <v>370</v>
      </c>
      <c r="AI54" s="4">
        <f t="shared" si="13"/>
        <v>185</v>
      </c>
      <c r="AJ54" s="3">
        <v>25</v>
      </c>
      <c r="AK54">
        <f t="shared" si="14"/>
        <v>7.6281796619977161E-4</v>
      </c>
      <c r="AL54">
        <v>71.910148000000007</v>
      </c>
      <c r="AM54">
        <f t="shared" si="15"/>
        <v>9.4269080155838552</v>
      </c>
    </row>
    <row r="55" spans="1:39" x14ac:dyDescent="0.2">
      <c r="A55" s="1" t="s">
        <v>54</v>
      </c>
      <c r="B55" s="1">
        <v>320</v>
      </c>
      <c r="C55" s="1">
        <f t="shared" si="0"/>
        <v>160</v>
      </c>
      <c r="D55" s="1">
        <v>340</v>
      </c>
      <c r="E55" s="1">
        <f t="shared" si="1"/>
        <v>170</v>
      </c>
      <c r="F55" s="1">
        <v>15</v>
      </c>
      <c r="G55">
        <f t="shared" si="2"/>
        <v>7.2633622150996017E-4</v>
      </c>
      <c r="H55">
        <v>108.371376</v>
      </c>
      <c r="I55">
        <f t="shared" si="3"/>
        <v>14.920276972379233</v>
      </c>
      <c r="K55" s="1" t="s">
        <v>94</v>
      </c>
      <c r="L55" s="1">
        <v>280</v>
      </c>
      <c r="M55" s="1">
        <f t="shared" si="4"/>
        <v>140</v>
      </c>
      <c r="N55" s="1">
        <v>270</v>
      </c>
      <c r="O55" s="1">
        <f t="shared" si="5"/>
        <v>135</v>
      </c>
      <c r="P55" s="1">
        <v>5</v>
      </c>
      <c r="Q55">
        <f t="shared" si="6"/>
        <v>5.6407296095204731E-4</v>
      </c>
      <c r="R55">
        <v>56.636803999999998</v>
      </c>
      <c r="S55">
        <f t="shared" si="7"/>
        <v>10.040687627431724</v>
      </c>
      <c r="U55" s="1" t="s">
        <v>54</v>
      </c>
      <c r="V55" s="4">
        <v>280</v>
      </c>
      <c r="W55" s="4">
        <f t="shared" si="8"/>
        <v>140</v>
      </c>
      <c r="X55" s="4">
        <v>270</v>
      </c>
      <c r="Y55" s="4">
        <f t="shared" si="9"/>
        <v>135</v>
      </c>
      <c r="Z55" s="3">
        <v>70</v>
      </c>
      <c r="AA55">
        <f t="shared" si="10"/>
        <v>1.7812830345854128E-4</v>
      </c>
      <c r="AB55">
        <v>30.9528</v>
      </c>
      <c r="AC55">
        <f t="shared" si="11"/>
        <v>17.376688262909411</v>
      </c>
      <c r="AE55" s="1" t="s">
        <v>123</v>
      </c>
      <c r="AF55" s="4">
        <v>320</v>
      </c>
      <c r="AG55" s="4">
        <f t="shared" si="12"/>
        <v>160</v>
      </c>
      <c r="AH55" s="4">
        <v>340</v>
      </c>
      <c r="AI55" s="4">
        <f t="shared" si="13"/>
        <v>170</v>
      </c>
      <c r="AJ55" s="1">
        <v>18</v>
      </c>
      <c r="AK55">
        <f t="shared" si="14"/>
        <v>7.0070082545666749E-4</v>
      </c>
      <c r="AL55">
        <v>67.056314</v>
      </c>
      <c r="AM55">
        <f t="shared" si="15"/>
        <v>9.5698922512753448</v>
      </c>
    </row>
    <row r="56" spans="1:39" x14ac:dyDescent="0.2">
      <c r="A56" s="1" t="s">
        <v>55</v>
      </c>
      <c r="B56" s="1">
        <v>350</v>
      </c>
      <c r="C56" s="1">
        <f t="shared" si="0"/>
        <v>175</v>
      </c>
      <c r="D56" s="1">
        <v>380</v>
      </c>
      <c r="E56" s="1">
        <f t="shared" si="1"/>
        <v>190</v>
      </c>
      <c r="F56" s="1">
        <v>5</v>
      </c>
      <c r="G56">
        <f t="shared" si="2"/>
        <v>9.9235057945267565E-4</v>
      </c>
      <c r="H56">
        <v>118.04678</v>
      </c>
      <c r="I56">
        <f t="shared" si="3"/>
        <v>11.89567300551262</v>
      </c>
      <c r="K56" s="1" t="s">
        <v>95</v>
      </c>
      <c r="L56" s="4">
        <v>260</v>
      </c>
      <c r="M56" s="1">
        <f t="shared" si="4"/>
        <v>130</v>
      </c>
      <c r="N56" s="4">
        <v>260</v>
      </c>
      <c r="O56" s="1">
        <f t="shared" si="5"/>
        <v>130</v>
      </c>
      <c r="P56" s="1">
        <v>4</v>
      </c>
      <c r="Q56">
        <f t="shared" si="6"/>
        <v>5.0969199211840799E-4</v>
      </c>
      <c r="R56">
        <v>49.865597000000001</v>
      </c>
      <c r="S56">
        <f t="shared" si="7"/>
        <v>9.7834766429713866</v>
      </c>
      <c r="U56" s="1" t="s">
        <v>93</v>
      </c>
      <c r="V56" s="4">
        <v>260</v>
      </c>
      <c r="W56" s="4">
        <f t="shared" si="8"/>
        <v>130</v>
      </c>
      <c r="X56" s="4">
        <v>260</v>
      </c>
      <c r="Y56" s="4">
        <f t="shared" si="9"/>
        <v>130</v>
      </c>
      <c r="Z56" s="3">
        <v>55</v>
      </c>
      <c r="AA56">
        <f t="shared" si="10"/>
        <v>2.3891812130550375E-4</v>
      </c>
      <c r="AB56">
        <v>42.951324</v>
      </c>
      <c r="AC56">
        <f t="shared" si="11"/>
        <v>17.977424133968597</v>
      </c>
      <c r="AE56" s="1" t="s">
        <v>141</v>
      </c>
      <c r="AF56" s="4">
        <v>350</v>
      </c>
      <c r="AG56" s="4">
        <f t="shared" si="12"/>
        <v>175</v>
      </c>
      <c r="AH56" s="4">
        <v>380</v>
      </c>
      <c r="AI56" s="4">
        <f t="shared" si="13"/>
        <v>190</v>
      </c>
      <c r="AJ56" s="3">
        <v>15</v>
      </c>
      <c r="AK56">
        <f t="shared" si="14"/>
        <v>8.8789262372081517E-4</v>
      </c>
      <c r="AL56">
        <v>57.199421000000001</v>
      </c>
      <c r="AM56">
        <f t="shared" si="15"/>
        <v>6.4421552192087495</v>
      </c>
    </row>
    <row r="57" spans="1:39" x14ac:dyDescent="0.2">
      <c r="A57" s="1" t="s">
        <v>56</v>
      </c>
      <c r="B57" s="1">
        <v>360</v>
      </c>
      <c r="C57" s="1">
        <f t="shared" si="0"/>
        <v>180</v>
      </c>
      <c r="D57" s="1">
        <v>370</v>
      </c>
      <c r="E57" s="1">
        <f t="shared" si="1"/>
        <v>185</v>
      </c>
      <c r="F57" s="1">
        <v>2</v>
      </c>
      <c r="G57">
        <f t="shared" si="2"/>
        <v>1.025227346572493E-3</v>
      </c>
      <c r="H57">
        <v>127.89157299999999</v>
      </c>
      <c r="I57">
        <f t="shared" si="3"/>
        <v>12.474459779829612</v>
      </c>
      <c r="K57" s="1" t="s">
        <v>96</v>
      </c>
      <c r="L57" s="1">
        <v>260</v>
      </c>
      <c r="M57" s="1">
        <f t="shared" si="4"/>
        <v>130</v>
      </c>
      <c r="N57" s="1">
        <v>260</v>
      </c>
      <c r="O57" s="1">
        <f t="shared" si="5"/>
        <v>130</v>
      </c>
      <c r="P57" s="1">
        <v>10</v>
      </c>
      <c r="Q57">
        <f t="shared" si="6"/>
        <v>4.7783624261100749E-4</v>
      </c>
      <c r="R57">
        <v>53.287315</v>
      </c>
      <c r="S57">
        <f t="shared" si="7"/>
        <v>11.151794327869695</v>
      </c>
      <c r="U57" s="1" t="s">
        <v>122</v>
      </c>
      <c r="V57" s="4">
        <v>260</v>
      </c>
      <c r="W57" s="4">
        <f t="shared" si="8"/>
        <v>130</v>
      </c>
      <c r="X57" s="4">
        <v>260</v>
      </c>
      <c r="Y57" s="4">
        <f t="shared" si="9"/>
        <v>130</v>
      </c>
      <c r="Z57" s="3">
        <v>28</v>
      </c>
      <c r="AA57">
        <f t="shared" si="10"/>
        <v>3.8226899408880602E-4</v>
      </c>
      <c r="AB57">
        <v>43.568387000000001</v>
      </c>
      <c r="AC57">
        <f t="shared" si="11"/>
        <v>11.397311232068827</v>
      </c>
      <c r="AE57" s="1" t="s">
        <v>58</v>
      </c>
      <c r="AF57" s="4">
        <v>360</v>
      </c>
      <c r="AG57" s="4">
        <f t="shared" si="12"/>
        <v>180</v>
      </c>
      <c r="AH57" s="4">
        <v>370</v>
      </c>
      <c r="AI57" s="4">
        <f t="shared" si="13"/>
        <v>185</v>
      </c>
      <c r="AJ57" s="3">
        <v>30</v>
      </c>
      <c r="AK57">
        <f t="shared" si="14"/>
        <v>7.3230524755178077E-4</v>
      </c>
      <c r="AL57">
        <v>76.064239999999998</v>
      </c>
      <c r="AM57">
        <f t="shared" si="15"/>
        <v>10.386958205515461</v>
      </c>
    </row>
    <row r="58" spans="1:39" x14ac:dyDescent="0.2">
      <c r="A58" s="1" t="s">
        <v>57</v>
      </c>
      <c r="B58" s="1">
        <v>360</v>
      </c>
      <c r="C58" s="1">
        <f t="shared" si="0"/>
        <v>180</v>
      </c>
      <c r="D58" s="1">
        <v>370</v>
      </c>
      <c r="E58" s="1">
        <f t="shared" si="1"/>
        <v>185</v>
      </c>
      <c r="F58" s="1">
        <v>20</v>
      </c>
      <c r="G58">
        <f t="shared" si="2"/>
        <v>8.3692028291632102E-4</v>
      </c>
      <c r="H58">
        <v>137.90575699999999</v>
      </c>
      <c r="I58">
        <f t="shared" si="3"/>
        <v>16.477764945480288</v>
      </c>
      <c r="K58" s="1" t="s">
        <v>59</v>
      </c>
      <c r="L58" s="1">
        <v>260</v>
      </c>
      <c r="M58" s="1">
        <f t="shared" si="4"/>
        <v>130</v>
      </c>
      <c r="N58" s="1">
        <v>240</v>
      </c>
      <c r="O58" s="1">
        <f t="shared" si="5"/>
        <v>120</v>
      </c>
      <c r="P58" s="1">
        <v>2</v>
      </c>
      <c r="Q58">
        <f t="shared" si="6"/>
        <v>4.8028668488080752E-4</v>
      </c>
      <c r="R58">
        <v>49.924608999999997</v>
      </c>
      <c r="S58">
        <f t="shared" si="7"/>
        <v>10.394751837101159</v>
      </c>
      <c r="U58" s="1" t="s">
        <v>94</v>
      </c>
      <c r="V58" s="4">
        <v>260</v>
      </c>
      <c r="W58" s="4">
        <f t="shared" si="8"/>
        <v>130</v>
      </c>
      <c r="X58" s="4">
        <v>240</v>
      </c>
      <c r="Y58" s="4">
        <f t="shared" si="9"/>
        <v>120</v>
      </c>
      <c r="Z58" s="3">
        <v>40</v>
      </c>
      <c r="AA58">
        <f t="shared" si="10"/>
        <v>2.9405307237600462E-4</v>
      </c>
      <c r="AB58">
        <v>23.301300999999999</v>
      </c>
      <c r="AC58">
        <f t="shared" si="11"/>
        <v>7.9241821252609501</v>
      </c>
      <c r="AE58" s="1" t="s">
        <v>59</v>
      </c>
      <c r="AF58" s="4">
        <v>360</v>
      </c>
      <c r="AG58" s="4">
        <f t="shared" si="12"/>
        <v>180</v>
      </c>
      <c r="AH58" s="4">
        <v>370</v>
      </c>
      <c r="AI58" s="4">
        <f t="shared" si="13"/>
        <v>185</v>
      </c>
      <c r="AJ58" s="1">
        <v>1</v>
      </c>
      <c r="AK58">
        <f t="shared" si="14"/>
        <v>1.0356888501089473E-3</v>
      </c>
      <c r="AL58">
        <v>69.693960000000004</v>
      </c>
      <c r="AM58">
        <f t="shared" si="15"/>
        <v>6.7292372600775501</v>
      </c>
    </row>
    <row r="59" spans="1:39" x14ac:dyDescent="0.2">
      <c r="A59" s="1" t="s">
        <v>58</v>
      </c>
      <c r="B59" s="1">
        <v>270</v>
      </c>
      <c r="C59" s="1">
        <f t="shared" si="0"/>
        <v>135</v>
      </c>
      <c r="D59" s="1">
        <v>320</v>
      </c>
      <c r="E59" s="1">
        <f t="shared" si="1"/>
        <v>160</v>
      </c>
      <c r="F59" s="1">
        <v>10</v>
      </c>
      <c r="G59">
        <f t="shared" si="2"/>
        <v>6.1072561185785573E-4</v>
      </c>
      <c r="H59">
        <v>60.169798</v>
      </c>
      <c r="I59">
        <f t="shared" si="3"/>
        <v>9.8521818688691774</v>
      </c>
      <c r="K59" s="1" t="s">
        <v>97</v>
      </c>
      <c r="L59" s="4">
        <v>263</v>
      </c>
      <c r="M59" s="1">
        <f t="shared" si="4"/>
        <v>131.5</v>
      </c>
      <c r="N59" s="4">
        <v>240</v>
      </c>
      <c r="O59" s="1">
        <f t="shared" si="5"/>
        <v>120</v>
      </c>
      <c r="P59" s="1">
        <v>1</v>
      </c>
      <c r="Q59">
        <f t="shared" si="6"/>
        <v>4.9078588752910477E-4</v>
      </c>
      <c r="R59">
        <v>52.712598999999997</v>
      </c>
      <c r="S59">
        <f t="shared" si="7"/>
        <v>10.740447176544786</v>
      </c>
      <c r="U59" s="1" t="s">
        <v>123</v>
      </c>
      <c r="V59" s="4">
        <v>263</v>
      </c>
      <c r="W59" s="4">
        <f t="shared" si="8"/>
        <v>131.5</v>
      </c>
      <c r="X59" s="4">
        <v>240</v>
      </c>
      <c r="Y59" s="4">
        <f t="shared" si="9"/>
        <v>120</v>
      </c>
      <c r="Z59" s="3">
        <v>75</v>
      </c>
      <c r="AA59">
        <f t="shared" si="10"/>
        <v>1.2393583018411734E-4</v>
      </c>
      <c r="AB59">
        <v>32.576706999999999</v>
      </c>
      <c r="AC59">
        <f t="shared" si="11"/>
        <v>26.285140424366787</v>
      </c>
      <c r="AE59" s="1" t="s">
        <v>60</v>
      </c>
      <c r="AF59" s="4">
        <v>270</v>
      </c>
      <c r="AG59" s="4">
        <f t="shared" si="12"/>
        <v>135</v>
      </c>
      <c r="AH59" s="4">
        <v>320</v>
      </c>
      <c r="AI59" s="4">
        <f t="shared" si="13"/>
        <v>160</v>
      </c>
      <c r="AJ59" s="1">
        <v>3</v>
      </c>
      <c r="AK59">
        <f t="shared" si="14"/>
        <v>6.5822649278013336E-4</v>
      </c>
      <c r="AL59">
        <v>75.320132999999998</v>
      </c>
      <c r="AM59">
        <f t="shared" si="15"/>
        <v>11.442889921047147</v>
      </c>
    </row>
    <row r="60" spans="1:39" x14ac:dyDescent="0.2">
      <c r="A60" s="7" t="s">
        <v>59</v>
      </c>
      <c r="B60" s="1">
        <v>320</v>
      </c>
      <c r="C60" s="1">
        <f t="shared" si="0"/>
        <v>160</v>
      </c>
      <c r="D60" s="1">
        <v>300</v>
      </c>
      <c r="E60" s="1">
        <f t="shared" si="1"/>
        <v>150</v>
      </c>
      <c r="F60" s="1">
        <v>6</v>
      </c>
      <c r="G60">
        <f t="shared" si="2"/>
        <v>7.0874330264985718E-4</v>
      </c>
      <c r="K60" s="1" t="s">
        <v>98</v>
      </c>
      <c r="L60" s="4">
        <v>263</v>
      </c>
      <c r="M60" s="1">
        <f t="shared" si="4"/>
        <v>131.5</v>
      </c>
      <c r="N60" s="4">
        <v>240</v>
      </c>
      <c r="O60" s="1">
        <f t="shared" si="5"/>
        <v>120</v>
      </c>
      <c r="P60" s="1">
        <v>6</v>
      </c>
      <c r="Q60">
        <f t="shared" si="6"/>
        <v>4.659987214922812E-4</v>
      </c>
      <c r="R60">
        <v>52.732764000000003</v>
      </c>
      <c r="S60">
        <f t="shared" si="7"/>
        <v>11.316074823366971</v>
      </c>
      <c r="U60" s="1" t="s">
        <v>58</v>
      </c>
      <c r="V60" s="4">
        <v>263</v>
      </c>
      <c r="W60" s="4">
        <f t="shared" si="8"/>
        <v>131.5</v>
      </c>
      <c r="X60" s="4">
        <v>240</v>
      </c>
      <c r="Y60" s="4">
        <f t="shared" si="9"/>
        <v>120</v>
      </c>
      <c r="Z60" s="1">
        <v>8</v>
      </c>
      <c r="AA60">
        <f t="shared" si="10"/>
        <v>4.5608385507755187E-4</v>
      </c>
      <c r="AB60">
        <v>84.945122999999995</v>
      </c>
      <c r="AC60">
        <f t="shared" si="11"/>
        <v>18.62489146553018</v>
      </c>
      <c r="AE60" s="1" t="s">
        <v>99</v>
      </c>
      <c r="AF60" s="4">
        <v>320</v>
      </c>
      <c r="AG60" s="4">
        <f t="shared" si="12"/>
        <v>160</v>
      </c>
      <c r="AH60" s="4">
        <v>300</v>
      </c>
      <c r="AI60" s="4">
        <f t="shared" si="13"/>
        <v>150</v>
      </c>
      <c r="AJ60" s="1">
        <v>10</v>
      </c>
      <c r="AK60">
        <f t="shared" si="14"/>
        <v>6.7858401317539532E-4</v>
      </c>
      <c r="AL60">
        <v>75.398777999999993</v>
      </c>
      <c r="AM60">
        <f t="shared" si="15"/>
        <v>11.111192797952269</v>
      </c>
    </row>
    <row r="61" spans="1:39" x14ac:dyDescent="0.2">
      <c r="A61" s="7" t="s">
        <v>60</v>
      </c>
      <c r="B61" s="1">
        <v>310</v>
      </c>
      <c r="C61" s="1">
        <f t="shared" si="0"/>
        <v>155</v>
      </c>
      <c r="D61" s="1">
        <v>310</v>
      </c>
      <c r="E61" s="1">
        <f t="shared" si="1"/>
        <v>155</v>
      </c>
      <c r="F61" s="1">
        <v>2</v>
      </c>
      <c r="G61">
        <f t="shared" si="2"/>
        <v>7.396722823244489E-4</v>
      </c>
      <c r="K61" s="1" t="s">
        <v>99</v>
      </c>
      <c r="L61" s="4">
        <v>263</v>
      </c>
      <c r="M61" s="1">
        <f t="shared" si="4"/>
        <v>131.5</v>
      </c>
      <c r="N61" s="4">
        <v>240</v>
      </c>
      <c r="O61" s="1">
        <f t="shared" si="5"/>
        <v>120</v>
      </c>
      <c r="P61" s="1">
        <v>3</v>
      </c>
      <c r="Q61">
        <f t="shared" si="6"/>
        <v>4.8087102111437534E-4</v>
      </c>
      <c r="R61">
        <v>51.646442999999998</v>
      </c>
      <c r="S61">
        <f t="shared" si="7"/>
        <v>10.740186189700934</v>
      </c>
      <c r="U61" s="1" t="s">
        <v>124</v>
      </c>
      <c r="V61" s="4">
        <v>263</v>
      </c>
      <c r="W61" s="4">
        <f t="shared" si="8"/>
        <v>131.5</v>
      </c>
      <c r="X61" s="4">
        <v>240</v>
      </c>
      <c r="Y61" s="4">
        <f t="shared" si="9"/>
        <v>120</v>
      </c>
      <c r="Z61" s="1">
        <v>10</v>
      </c>
      <c r="AA61">
        <f t="shared" si="10"/>
        <v>4.4616898866282244E-4</v>
      </c>
      <c r="AB61">
        <v>63.444673999999999</v>
      </c>
      <c r="AC61">
        <f t="shared" si="11"/>
        <v>14.219875341436209</v>
      </c>
      <c r="AE61" s="1" t="s">
        <v>125</v>
      </c>
      <c r="AF61" s="4">
        <v>310</v>
      </c>
      <c r="AG61" s="4">
        <f t="shared" si="12"/>
        <v>155</v>
      </c>
      <c r="AH61" s="4">
        <v>310</v>
      </c>
      <c r="AI61" s="4">
        <f t="shared" si="13"/>
        <v>155</v>
      </c>
      <c r="AJ61" s="1">
        <v>15</v>
      </c>
      <c r="AK61">
        <f t="shared" si="14"/>
        <v>6.4155248977120567E-4</v>
      </c>
      <c r="AL61">
        <v>69.899647999999999</v>
      </c>
      <c r="AM61">
        <f t="shared" si="15"/>
        <v>10.895390340535975</v>
      </c>
    </row>
    <row r="62" spans="1:39" x14ac:dyDescent="0.2">
      <c r="A62" s="7" t="s">
        <v>61</v>
      </c>
      <c r="B62" s="1">
        <v>210</v>
      </c>
      <c r="C62" s="1">
        <f t="shared" si="0"/>
        <v>105</v>
      </c>
      <c r="D62" s="1">
        <v>300</v>
      </c>
      <c r="E62" s="1">
        <f t="shared" si="1"/>
        <v>150</v>
      </c>
      <c r="F62" s="1">
        <v>10</v>
      </c>
      <c r="G62">
        <f t="shared" si="2"/>
        <v>4.4532075864635323E-4</v>
      </c>
      <c r="K62" s="1" t="s">
        <v>63</v>
      </c>
      <c r="L62" s="1">
        <v>270</v>
      </c>
      <c r="M62" s="1">
        <f t="shared" si="4"/>
        <v>135</v>
      </c>
      <c r="N62" s="1">
        <v>200</v>
      </c>
      <c r="O62" s="1">
        <f t="shared" si="5"/>
        <v>100</v>
      </c>
      <c r="P62" s="3">
        <v>20</v>
      </c>
      <c r="Q62">
        <f t="shared" si="6"/>
        <v>3.3929200658769766E-4</v>
      </c>
      <c r="R62">
        <v>58.887273</v>
      </c>
      <c r="S62">
        <f t="shared" si="7"/>
        <v>17.355927005836861</v>
      </c>
      <c r="U62" s="1" t="s">
        <v>98</v>
      </c>
      <c r="V62" s="4">
        <v>270</v>
      </c>
      <c r="W62" s="4">
        <f t="shared" si="8"/>
        <v>135</v>
      </c>
      <c r="X62" s="4">
        <v>200</v>
      </c>
      <c r="Y62" s="4">
        <f t="shared" si="9"/>
        <v>100</v>
      </c>
      <c r="Z62" s="3">
        <v>60</v>
      </c>
      <c r="AA62">
        <f t="shared" si="10"/>
        <v>1.6964600329384883E-4</v>
      </c>
      <c r="AB62">
        <v>57.721707000000002</v>
      </c>
      <c r="AC62">
        <f t="shared" si="11"/>
        <v>34.024796269452068</v>
      </c>
      <c r="AE62" s="1" t="s">
        <v>142</v>
      </c>
      <c r="AF62" s="4">
        <v>210</v>
      </c>
      <c r="AG62" s="4">
        <f t="shared" si="12"/>
        <v>105</v>
      </c>
      <c r="AH62" s="4">
        <v>300</v>
      </c>
      <c r="AI62" s="4">
        <f t="shared" si="13"/>
        <v>150</v>
      </c>
      <c r="AJ62" s="3">
        <v>50</v>
      </c>
      <c r="AK62">
        <f t="shared" si="14"/>
        <v>2.4740042147019625E-4</v>
      </c>
      <c r="AL62">
        <v>63.355946000000003</v>
      </c>
      <c r="AM62">
        <f>AL62 * 0.0001/AK62</f>
        <v>25.608665346446209</v>
      </c>
    </row>
    <row r="63" spans="1:39" x14ac:dyDescent="0.2">
      <c r="A63" s="7" t="s">
        <v>62</v>
      </c>
      <c r="B63" s="4">
        <v>288</v>
      </c>
      <c r="C63" s="1">
        <f t="shared" si="0"/>
        <v>144</v>
      </c>
      <c r="D63" s="4">
        <v>312</v>
      </c>
      <c r="E63" s="1">
        <f t="shared" si="1"/>
        <v>156</v>
      </c>
      <c r="F63" s="1">
        <v>10</v>
      </c>
      <c r="G63">
        <f t="shared" si="2"/>
        <v>6.3515463633217009E-4</v>
      </c>
      <c r="K63" s="1" t="s">
        <v>100</v>
      </c>
      <c r="L63" s="1">
        <v>260</v>
      </c>
      <c r="M63" s="1">
        <f t="shared" si="4"/>
        <v>130</v>
      </c>
      <c r="N63" s="1">
        <v>280</v>
      </c>
      <c r="O63" s="1">
        <f t="shared" si="5"/>
        <v>140</v>
      </c>
      <c r="P63" s="1">
        <v>12</v>
      </c>
      <c r="Q63">
        <f t="shared" si="6"/>
        <v>5.0315747939894118E-4</v>
      </c>
      <c r="R63">
        <v>61.720523999999997</v>
      </c>
      <c r="S63">
        <f t="shared" si="7"/>
        <v>12.266641464562889</v>
      </c>
      <c r="U63" s="1" t="s">
        <v>99</v>
      </c>
      <c r="V63" s="4">
        <v>260</v>
      </c>
      <c r="W63" s="4">
        <f t="shared" si="8"/>
        <v>130</v>
      </c>
      <c r="X63" s="4">
        <v>280</v>
      </c>
      <c r="Y63" s="4">
        <f t="shared" si="9"/>
        <v>140</v>
      </c>
      <c r="Z63" s="3">
        <v>45</v>
      </c>
      <c r="AA63">
        <f t="shared" si="10"/>
        <v>3.144734246243383E-4</v>
      </c>
      <c r="AB63">
        <v>31.461461</v>
      </c>
      <c r="AC63">
        <f t="shared" si="11"/>
        <v>10.004489580505265</v>
      </c>
    </row>
    <row r="64" spans="1:39" x14ac:dyDescent="0.2">
      <c r="A64" s="7" t="s">
        <v>63</v>
      </c>
      <c r="B64" s="1">
        <v>330</v>
      </c>
      <c r="C64" s="1">
        <f t="shared" si="0"/>
        <v>165</v>
      </c>
      <c r="D64" s="1">
        <v>330</v>
      </c>
      <c r="E64" s="1">
        <f t="shared" si="1"/>
        <v>165</v>
      </c>
      <c r="F64" s="1">
        <v>4</v>
      </c>
      <c r="G64">
        <f t="shared" si="2"/>
        <v>8.2108665594222822E-4</v>
      </c>
      <c r="U64" s="1" t="s">
        <v>125</v>
      </c>
      <c r="V64" s="4">
        <v>260</v>
      </c>
      <c r="W64" s="4">
        <f t="shared" si="8"/>
        <v>130</v>
      </c>
      <c r="X64" s="4">
        <v>280</v>
      </c>
      <c r="Y64" s="4">
        <f t="shared" si="9"/>
        <v>140</v>
      </c>
      <c r="Z64" s="3">
        <v>40</v>
      </c>
      <c r="AA64">
        <f t="shared" si="10"/>
        <v>3.4306191777200539E-4</v>
      </c>
      <c r="AB64">
        <v>34.595098999999998</v>
      </c>
      <c r="AC64">
        <f t="shared" si="11"/>
        <v>10.084214308797593</v>
      </c>
    </row>
    <row r="65" spans="21:29" x14ac:dyDescent="0.2">
      <c r="U65" s="1" t="s">
        <v>100</v>
      </c>
      <c r="V65" s="4">
        <v>260</v>
      </c>
      <c r="W65" s="4">
        <f t="shared" si="8"/>
        <v>130</v>
      </c>
      <c r="X65" s="4">
        <v>280</v>
      </c>
      <c r="Y65" s="4">
        <f t="shared" si="9"/>
        <v>140</v>
      </c>
      <c r="Z65" s="3">
        <v>85</v>
      </c>
      <c r="AA65">
        <f t="shared" si="10"/>
        <v>8.5765479443001348E-5</v>
      </c>
      <c r="AB65">
        <v>21.354751</v>
      </c>
      <c r="AC65">
        <f t="shared" si="11"/>
        <v>24.899004982758939</v>
      </c>
    </row>
    <row r="66" spans="21:29" x14ac:dyDescent="0.2">
      <c r="U66" s="1" t="s">
        <v>126</v>
      </c>
      <c r="V66" s="4">
        <v>260</v>
      </c>
      <c r="W66" s="4">
        <f t="shared" si="8"/>
        <v>130</v>
      </c>
      <c r="X66" s="4">
        <v>280</v>
      </c>
      <c r="Y66" s="4">
        <f t="shared" si="9"/>
        <v>140</v>
      </c>
      <c r="Z66" s="3">
        <v>40</v>
      </c>
      <c r="AA66">
        <f t="shared" si="10"/>
        <v>3.4306191777200539E-4</v>
      </c>
      <c r="AB66">
        <v>26.81467</v>
      </c>
      <c r="AC66">
        <f t="shared" si="11"/>
        <v>7.8162770657105369</v>
      </c>
    </row>
  </sheetData>
  <mergeCells count="4">
    <mergeCell ref="A1:G1"/>
    <mergeCell ref="K1:S1"/>
    <mergeCell ref="U1:AC1"/>
    <mergeCell ref="AE1:A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9DA1-0B9B-9349-8DD6-98C9B2F698D1}">
  <dimension ref="A1:AM66"/>
  <sheetViews>
    <sheetView topLeftCell="AE1" zoomScale="88" workbookViewId="0">
      <selection activeCell="AM22" sqref="AM22"/>
    </sheetView>
  </sheetViews>
  <sheetFormatPr baseColWidth="10" defaultRowHeight="15" x14ac:dyDescent="0.2"/>
  <cols>
    <col min="8" max="8" width="13.33203125" customWidth="1"/>
  </cols>
  <sheetData>
    <row r="1" spans="1:39" x14ac:dyDescent="0.2">
      <c r="A1" s="13" t="s">
        <v>66</v>
      </c>
      <c r="B1" s="13"/>
      <c r="C1" s="13"/>
      <c r="D1" s="13"/>
      <c r="E1" s="13"/>
      <c r="F1" s="13"/>
      <c r="G1" s="13"/>
      <c r="H1" s="8"/>
      <c r="I1" s="8"/>
      <c r="K1" s="12" t="s">
        <v>69</v>
      </c>
      <c r="L1" s="12"/>
      <c r="M1" s="12"/>
      <c r="N1" s="12"/>
      <c r="O1" s="12"/>
      <c r="P1" s="12"/>
      <c r="Q1" s="12"/>
      <c r="R1" s="12"/>
      <c r="S1" s="12"/>
      <c r="U1" s="12" t="s">
        <v>102</v>
      </c>
      <c r="V1" s="12"/>
      <c r="W1" s="12"/>
      <c r="X1" s="12"/>
      <c r="Y1" s="12"/>
      <c r="Z1" s="12"/>
      <c r="AA1" s="12"/>
      <c r="AB1" s="12"/>
      <c r="AC1" s="12"/>
      <c r="AE1" s="12" t="s">
        <v>103</v>
      </c>
      <c r="AF1" s="12"/>
      <c r="AG1" s="12"/>
      <c r="AH1" s="12"/>
      <c r="AI1" s="12"/>
      <c r="AJ1" s="12"/>
      <c r="AK1" s="12"/>
      <c r="AL1" s="12"/>
      <c r="AM1" s="12"/>
    </row>
    <row r="2" spans="1:39" x14ac:dyDescent="0.2">
      <c r="A2" s="10" t="s">
        <v>67</v>
      </c>
      <c r="B2" s="10" t="s">
        <v>64</v>
      </c>
      <c r="C2" s="10" t="s">
        <v>145</v>
      </c>
      <c r="D2" s="10" t="s">
        <v>65</v>
      </c>
      <c r="E2" s="10" t="s">
        <v>146</v>
      </c>
      <c r="F2" s="10" t="s">
        <v>0</v>
      </c>
      <c r="G2" s="10" t="s">
        <v>147</v>
      </c>
      <c r="H2" s="10" t="s">
        <v>149</v>
      </c>
      <c r="I2" s="10" t="s">
        <v>148</v>
      </c>
      <c r="K2" s="2" t="s">
        <v>70</v>
      </c>
      <c r="L2" s="2" t="s">
        <v>68</v>
      </c>
      <c r="M2" s="2" t="s">
        <v>145</v>
      </c>
      <c r="N2" s="2" t="s">
        <v>65</v>
      </c>
      <c r="O2" s="2" t="s">
        <v>146</v>
      </c>
      <c r="P2" s="2" t="s">
        <v>0</v>
      </c>
      <c r="Q2" s="2" t="s">
        <v>147</v>
      </c>
      <c r="R2" s="2" t="s">
        <v>149</v>
      </c>
      <c r="S2" s="2" t="s">
        <v>1</v>
      </c>
      <c r="U2" s="2" t="s">
        <v>70</v>
      </c>
      <c r="V2" s="5" t="s">
        <v>68</v>
      </c>
      <c r="W2" s="5" t="s">
        <v>145</v>
      </c>
      <c r="X2" s="5" t="s">
        <v>65</v>
      </c>
      <c r="Y2" s="5" t="s">
        <v>146</v>
      </c>
      <c r="Z2" s="2" t="s">
        <v>0</v>
      </c>
      <c r="AA2" s="2" t="s">
        <v>147</v>
      </c>
      <c r="AB2" s="2" t="s">
        <v>149</v>
      </c>
      <c r="AC2" s="2" t="s">
        <v>1</v>
      </c>
      <c r="AE2" s="2" t="s">
        <v>70</v>
      </c>
      <c r="AF2" s="5" t="s">
        <v>64</v>
      </c>
      <c r="AG2" s="5" t="s">
        <v>145</v>
      </c>
      <c r="AH2" s="5" t="s">
        <v>65</v>
      </c>
      <c r="AI2" s="5" t="s">
        <v>146</v>
      </c>
      <c r="AJ2" s="2" t="s">
        <v>0</v>
      </c>
      <c r="AK2" s="2" t="s">
        <v>147</v>
      </c>
      <c r="AL2" s="2" t="s">
        <v>149</v>
      </c>
      <c r="AM2" s="2" t="s">
        <v>1</v>
      </c>
    </row>
    <row r="3" spans="1:39" x14ac:dyDescent="0.2">
      <c r="A3" s="8" t="s">
        <v>2</v>
      </c>
      <c r="B3" s="8">
        <v>260</v>
      </c>
      <c r="C3" s="8">
        <v>130</v>
      </c>
      <c r="D3" s="8">
        <v>300</v>
      </c>
      <c r="E3" s="8">
        <v>150</v>
      </c>
      <c r="F3" s="8">
        <v>10</v>
      </c>
      <c r="G3" s="9">
        <v>5.5130000000000001E-4</v>
      </c>
      <c r="H3">
        <v>60.236083999999998</v>
      </c>
      <c r="I3" s="9">
        <f>H3*0.0001/G3</f>
        <v>10.926189733357518</v>
      </c>
      <c r="K3" s="1" t="s">
        <v>2</v>
      </c>
      <c r="L3" s="1">
        <v>240</v>
      </c>
      <c r="M3" s="1">
        <f>L3/2</f>
        <v>120</v>
      </c>
      <c r="N3" s="1">
        <v>240</v>
      </c>
      <c r="O3" s="1">
        <f>N3/2</f>
        <v>120</v>
      </c>
      <c r="P3" s="1">
        <v>1</v>
      </c>
      <c r="Q3">
        <f>PI()*M3*O3*(1-P3/100)/100000000</f>
        <v>4.4786544869576087E-4</v>
      </c>
      <c r="R3">
        <v>43.979349999999997</v>
      </c>
      <c r="S3">
        <f xml:space="preserve"> R3 * 0.0001/Q3</f>
        <v>9.8197684434182761</v>
      </c>
      <c r="U3" s="7" t="s">
        <v>2</v>
      </c>
      <c r="V3" s="4">
        <v>240</v>
      </c>
      <c r="W3" s="4">
        <f>V3/2</f>
        <v>120</v>
      </c>
      <c r="X3" s="4">
        <v>240</v>
      </c>
      <c r="Y3" s="4">
        <f>X3/2</f>
        <v>120</v>
      </c>
      <c r="Z3" s="1">
        <v>10</v>
      </c>
      <c r="AA3">
        <f>PI()*W3*Y3*(1-Z3/100)/100000000</f>
        <v>4.0715040790523721E-4</v>
      </c>
      <c r="AE3" s="1" t="s">
        <v>2</v>
      </c>
      <c r="AF3" s="4">
        <v>260</v>
      </c>
      <c r="AG3" s="4">
        <f>AF3/2</f>
        <v>130</v>
      </c>
      <c r="AH3" s="4">
        <v>300</v>
      </c>
      <c r="AI3" s="4">
        <f>AH3/2</f>
        <v>150</v>
      </c>
      <c r="AJ3" s="1">
        <v>8</v>
      </c>
      <c r="AK3">
        <f>PI()*AG3*AI3*(1-AJ3/100)/100000000</f>
        <v>5.6360172205400887E-4</v>
      </c>
      <c r="AL3">
        <v>125.587219</v>
      </c>
      <c r="AM3">
        <f>AL3 * 0.0001/AK3</f>
        <v>22.282972901911261</v>
      </c>
    </row>
    <row r="4" spans="1:39" ht="16" customHeight="1" x14ac:dyDescent="0.2">
      <c r="A4" s="8" t="s">
        <v>3</v>
      </c>
      <c r="B4" s="8">
        <v>280</v>
      </c>
      <c r="C4" s="8">
        <v>140</v>
      </c>
      <c r="D4" s="8">
        <v>300</v>
      </c>
      <c r="E4" s="8">
        <v>150</v>
      </c>
      <c r="F4" s="8">
        <v>4</v>
      </c>
      <c r="G4" s="9">
        <v>6.3330000000000005E-4</v>
      </c>
      <c r="H4">
        <v>61.477502999999999</v>
      </c>
      <c r="I4" s="9">
        <f t="shared" ref="I4:I59" si="0">H4*0.0001/G4</f>
        <v>9.7074850781620086</v>
      </c>
      <c r="K4" s="1" t="s">
        <v>3</v>
      </c>
      <c r="L4" s="1">
        <v>240</v>
      </c>
      <c r="M4" s="1">
        <f t="shared" ref="M4:M63" si="1">L4/2</f>
        <v>120</v>
      </c>
      <c r="N4" s="1">
        <v>240</v>
      </c>
      <c r="O4" s="1">
        <f t="shared" ref="O4:O63" si="2">N4/2</f>
        <v>120</v>
      </c>
      <c r="P4" s="1">
        <v>0</v>
      </c>
      <c r="Q4">
        <f t="shared" ref="Q4:Q63" si="3">PI()*M4*O4*(1-P4/100)/100000000</f>
        <v>4.523893421169302E-4</v>
      </c>
      <c r="R4">
        <v>56.049574</v>
      </c>
      <c r="S4">
        <f t="shared" ref="S4:S63" si="4" xml:space="preserve"> R4 * 0.0001/Q4</f>
        <v>12.389676055965246</v>
      </c>
      <c r="U4" s="1" t="s">
        <v>3</v>
      </c>
      <c r="V4" s="4">
        <v>240</v>
      </c>
      <c r="W4" s="4">
        <f t="shared" ref="W4:W66" si="5">V4/2</f>
        <v>120</v>
      </c>
      <c r="X4" s="4">
        <v>240</v>
      </c>
      <c r="Y4" s="4">
        <f t="shared" ref="Y4:Y66" si="6">X4/2</f>
        <v>120</v>
      </c>
      <c r="Z4" s="1">
        <v>8</v>
      </c>
      <c r="AA4">
        <f t="shared" ref="AA4:AA66" si="7">PI()*W4*Y4*(1-Z4/100)/100000000</f>
        <v>4.1619819474757582E-4</v>
      </c>
      <c r="AB4" s="6">
        <v>135.8981</v>
      </c>
      <c r="AC4">
        <f t="shared" ref="AC4:AC66" si="8">AB4* 0.0001/AA4</f>
        <v>32.652255996069904</v>
      </c>
      <c r="AE4" s="1" t="s">
        <v>4</v>
      </c>
      <c r="AF4" s="4">
        <v>280</v>
      </c>
      <c r="AG4" s="4">
        <f t="shared" ref="AG4:AG62" si="9">AF4/2</f>
        <v>140</v>
      </c>
      <c r="AH4" s="4">
        <v>300</v>
      </c>
      <c r="AI4" s="4">
        <f t="shared" ref="AI4:AI62" si="10">AH4/2</f>
        <v>150</v>
      </c>
      <c r="AJ4" s="1">
        <v>15</v>
      </c>
      <c r="AK4">
        <f t="shared" ref="AK4:AK62" si="11">PI()*AG4*AI4*(1-AJ4/100)/100000000</f>
        <v>5.6077428866577802E-4</v>
      </c>
      <c r="AL4">
        <v>74.995851999999999</v>
      </c>
      <c r="AM4">
        <f t="shared" ref="AM4:AM61" si="12">AL4 * 0.0001/AK4</f>
        <v>13.373625274160457</v>
      </c>
    </row>
    <row r="5" spans="1:39" ht="16" customHeight="1" x14ac:dyDescent="0.2">
      <c r="A5" s="8" t="s">
        <v>4</v>
      </c>
      <c r="B5" s="8">
        <v>290</v>
      </c>
      <c r="C5" s="8">
        <v>145</v>
      </c>
      <c r="D5" s="8">
        <v>300</v>
      </c>
      <c r="E5" s="8">
        <v>150</v>
      </c>
      <c r="F5" s="8">
        <v>1</v>
      </c>
      <c r="G5" s="9">
        <v>6.7650000000000002E-4</v>
      </c>
      <c r="H5">
        <v>68.023719</v>
      </c>
      <c r="I5" s="9">
        <f t="shared" si="0"/>
        <v>10.055243015521064</v>
      </c>
      <c r="K5" s="1" t="s">
        <v>71</v>
      </c>
      <c r="L5" s="1">
        <v>240</v>
      </c>
      <c r="M5" s="1">
        <f t="shared" si="1"/>
        <v>120</v>
      </c>
      <c r="N5" s="1">
        <v>240</v>
      </c>
      <c r="O5" s="1">
        <f t="shared" si="2"/>
        <v>120</v>
      </c>
      <c r="P5" s="1">
        <v>1</v>
      </c>
      <c r="Q5">
        <f t="shared" si="3"/>
        <v>4.4786544869576087E-4</v>
      </c>
      <c r="R5">
        <v>38.198954999999998</v>
      </c>
      <c r="S5">
        <f t="shared" si="4"/>
        <v>8.5291140701387089</v>
      </c>
      <c r="U5" s="1" t="s">
        <v>71</v>
      </c>
      <c r="V5" s="4">
        <v>240</v>
      </c>
      <c r="W5" s="4">
        <f t="shared" si="5"/>
        <v>120</v>
      </c>
      <c r="X5" s="4">
        <v>240</v>
      </c>
      <c r="Y5" s="4">
        <f t="shared" si="6"/>
        <v>120</v>
      </c>
      <c r="Z5" s="3">
        <v>50</v>
      </c>
      <c r="AA5">
        <f t="shared" si="7"/>
        <v>2.261946710584651E-4</v>
      </c>
      <c r="AB5" s="6">
        <v>103.1024</v>
      </c>
      <c r="AC5">
        <f t="shared" si="8"/>
        <v>45.581268346216198</v>
      </c>
      <c r="AE5" s="1" t="s">
        <v>127</v>
      </c>
      <c r="AF5" s="4">
        <v>290</v>
      </c>
      <c r="AG5" s="4">
        <f t="shared" si="9"/>
        <v>145</v>
      </c>
      <c r="AH5" s="4">
        <v>300</v>
      </c>
      <c r="AI5" s="4">
        <f t="shared" si="10"/>
        <v>150</v>
      </c>
      <c r="AJ5" s="1">
        <v>9</v>
      </c>
      <c r="AK5">
        <f t="shared" si="11"/>
        <v>6.2179972596175981E-4</v>
      </c>
      <c r="AL5">
        <v>67.535224999999997</v>
      </c>
      <c r="AM5">
        <f t="shared" si="12"/>
        <v>10.861250364100895</v>
      </c>
    </row>
    <row r="6" spans="1:39" ht="16" customHeight="1" x14ac:dyDescent="0.2">
      <c r="A6" s="8" t="s">
        <v>5</v>
      </c>
      <c r="B6" s="4">
        <v>277</v>
      </c>
      <c r="C6" s="8">
        <v>138.5</v>
      </c>
      <c r="D6" s="4">
        <v>300</v>
      </c>
      <c r="E6" s="8">
        <v>150</v>
      </c>
      <c r="F6" s="8">
        <v>30</v>
      </c>
      <c r="G6" s="9">
        <v>4.5689999999999999E-4</v>
      </c>
      <c r="H6">
        <v>63.483958999999999</v>
      </c>
      <c r="I6" s="9">
        <f t="shared" si="0"/>
        <v>13.894497483037865</v>
      </c>
      <c r="K6" s="1" t="s">
        <v>4</v>
      </c>
      <c r="L6" s="4">
        <v>238</v>
      </c>
      <c r="M6" s="1">
        <f t="shared" si="1"/>
        <v>119</v>
      </c>
      <c r="N6" s="4">
        <v>238</v>
      </c>
      <c r="O6" s="1">
        <f t="shared" si="2"/>
        <v>119</v>
      </c>
      <c r="P6" s="1">
        <v>3</v>
      </c>
      <c r="Q6">
        <f t="shared" si="3"/>
        <v>4.3153450760460502E-4</v>
      </c>
      <c r="R6">
        <v>76.100009</v>
      </c>
      <c r="S6">
        <f t="shared" si="4"/>
        <v>17.634744767555624</v>
      </c>
      <c r="U6" s="1" t="s">
        <v>4</v>
      </c>
      <c r="V6" s="4">
        <v>238</v>
      </c>
      <c r="W6" s="4">
        <f t="shared" si="5"/>
        <v>119</v>
      </c>
      <c r="X6" s="4">
        <v>238</v>
      </c>
      <c r="Y6" s="4">
        <f t="shared" si="6"/>
        <v>119</v>
      </c>
      <c r="Z6" s="3">
        <v>10</v>
      </c>
      <c r="AA6">
        <f t="shared" si="7"/>
        <v>4.0039284210736551E-4</v>
      </c>
      <c r="AB6" s="6">
        <v>86.784289999999999</v>
      </c>
      <c r="AC6">
        <f t="shared" si="8"/>
        <v>21.674785578891232</v>
      </c>
      <c r="AE6" s="1" t="s">
        <v>6</v>
      </c>
      <c r="AF6" s="4">
        <v>277</v>
      </c>
      <c r="AG6" s="4">
        <f t="shared" si="9"/>
        <v>138.5</v>
      </c>
      <c r="AH6" s="4">
        <v>300</v>
      </c>
      <c r="AI6" s="4">
        <f t="shared" si="10"/>
        <v>150</v>
      </c>
      <c r="AJ6" s="1">
        <v>2</v>
      </c>
      <c r="AK6">
        <f t="shared" si="11"/>
        <v>6.3961255630761392E-4</v>
      </c>
      <c r="AL6">
        <v>53.072186000000002</v>
      </c>
      <c r="AM6">
        <f t="shared" si="12"/>
        <v>8.2975522410594422</v>
      </c>
    </row>
    <row r="7" spans="1:39" ht="16" customHeight="1" x14ac:dyDescent="0.2">
      <c r="A7" s="8" t="s">
        <v>6</v>
      </c>
      <c r="B7" s="4">
        <v>277</v>
      </c>
      <c r="C7" s="8">
        <v>138.5</v>
      </c>
      <c r="D7" s="4">
        <v>300</v>
      </c>
      <c r="E7" s="8">
        <v>150</v>
      </c>
      <c r="F7" s="8">
        <v>20</v>
      </c>
      <c r="G7" s="9">
        <v>5.2209999999999995E-4</v>
      </c>
      <c r="H7">
        <v>60.330956</v>
      </c>
      <c r="I7" s="9">
        <f t="shared" si="0"/>
        <v>11.555440720168553</v>
      </c>
      <c r="K7" s="1" t="s">
        <v>5</v>
      </c>
      <c r="L7" s="1">
        <v>230</v>
      </c>
      <c r="M7" s="1">
        <f t="shared" si="1"/>
        <v>115</v>
      </c>
      <c r="N7" s="1">
        <v>230</v>
      </c>
      <c r="O7" s="1">
        <f t="shared" si="2"/>
        <v>115</v>
      </c>
      <c r="P7" s="1">
        <v>1</v>
      </c>
      <c r="Q7">
        <f t="shared" si="3"/>
        <v>4.1132087215287771E-4</v>
      </c>
      <c r="R7">
        <v>41.003712</v>
      </c>
      <c r="S7">
        <f t="shared" si="4"/>
        <v>9.9687895207904607</v>
      </c>
      <c r="U7" s="1" t="s">
        <v>5</v>
      </c>
      <c r="V7" s="4">
        <v>230</v>
      </c>
      <c r="W7" s="4">
        <f t="shared" si="5"/>
        <v>115</v>
      </c>
      <c r="X7" s="4">
        <v>230</v>
      </c>
      <c r="Y7" s="4">
        <f t="shared" si="6"/>
        <v>115</v>
      </c>
      <c r="Z7" s="1">
        <v>6</v>
      </c>
      <c r="AA7">
        <f t="shared" si="7"/>
        <v>3.9054709073101519E-4</v>
      </c>
      <c r="AB7" s="6">
        <v>64.995869999999996</v>
      </c>
      <c r="AC7">
        <f t="shared" si="8"/>
        <v>16.642261981350966</v>
      </c>
      <c r="AE7" s="1" t="s">
        <v>128</v>
      </c>
      <c r="AF7" s="4">
        <v>277</v>
      </c>
      <c r="AG7" s="4">
        <f t="shared" si="9"/>
        <v>138.5</v>
      </c>
      <c r="AH7" s="4">
        <v>300</v>
      </c>
      <c r="AI7" s="4">
        <f t="shared" si="10"/>
        <v>150</v>
      </c>
      <c r="AJ7" s="3">
        <v>35</v>
      </c>
      <c r="AK7">
        <f t="shared" si="11"/>
        <v>4.2423281795913171E-4</v>
      </c>
      <c r="AL7">
        <v>76.025322000000003</v>
      </c>
      <c r="AM7">
        <f t="shared" si="12"/>
        <v>17.920660255785272</v>
      </c>
    </row>
    <row r="8" spans="1:39" ht="16" customHeight="1" x14ac:dyDescent="0.2">
      <c r="A8" s="8" t="s">
        <v>7</v>
      </c>
      <c r="B8" s="4">
        <v>277</v>
      </c>
      <c r="C8" s="8">
        <v>138.5</v>
      </c>
      <c r="D8" s="4">
        <v>300</v>
      </c>
      <c r="E8" s="8">
        <v>150</v>
      </c>
      <c r="F8" s="8">
        <v>50</v>
      </c>
      <c r="G8" s="9">
        <v>3.2630000000000002E-4</v>
      </c>
      <c r="H8">
        <v>68.455691999999999</v>
      </c>
      <c r="I8" s="9">
        <f t="shared" si="0"/>
        <v>20.979372356726937</v>
      </c>
      <c r="K8" s="1" t="s">
        <v>7</v>
      </c>
      <c r="L8" s="1">
        <v>240</v>
      </c>
      <c r="M8" s="1">
        <f t="shared" si="1"/>
        <v>120</v>
      </c>
      <c r="N8" s="1">
        <v>260</v>
      </c>
      <c r="O8" s="1">
        <f t="shared" si="2"/>
        <v>130</v>
      </c>
      <c r="P8" s="1">
        <v>1</v>
      </c>
      <c r="Q8">
        <f t="shared" si="3"/>
        <v>4.8518756942040762E-4</v>
      </c>
      <c r="R8">
        <v>51.376589000000003</v>
      </c>
      <c r="S8">
        <f t="shared" si="4"/>
        <v>10.58901592663908</v>
      </c>
      <c r="U8" s="1" t="s">
        <v>6</v>
      </c>
      <c r="V8" s="4">
        <v>240</v>
      </c>
      <c r="W8" s="4">
        <f t="shared" si="5"/>
        <v>120</v>
      </c>
      <c r="X8" s="4">
        <v>260</v>
      </c>
      <c r="Y8" s="4">
        <f t="shared" si="6"/>
        <v>130</v>
      </c>
      <c r="Z8" s="1">
        <v>3</v>
      </c>
      <c r="AA8">
        <f t="shared" si="7"/>
        <v>4.7538580034120741E-4</v>
      </c>
      <c r="AB8" s="6">
        <v>49.155859999999997</v>
      </c>
      <c r="AC8">
        <f t="shared" si="8"/>
        <v>10.34020367556592</v>
      </c>
      <c r="AE8" s="1" t="s">
        <v>129</v>
      </c>
      <c r="AF8" s="4">
        <v>277</v>
      </c>
      <c r="AG8" s="4">
        <f t="shared" si="9"/>
        <v>138.5</v>
      </c>
      <c r="AH8" s="4">
        <v>300</v>
      </c>
      <c r="AI8" s="4">
        <f t="shared" si="10"/>
        <v>150</v>
      </c>
      <c r="AJ8" s="3">
        <v>80</v>
      </c>
      <c r="AK8">
        <f t="shared" si="11"/>
        <v>1.3053317475665587E-4</v>
      </c>
      <c r="AL8">
        <v>72.230413999999996</v>
      </c>
      <c r="AM8">
        <f t="shared" si="12"/>
        <v>55.334909408779986</v>
      </c>
    </row>
    <row r="9" spans="1:39" x14ac:dyDescent="0.2">
      <c r="A9" s="8" t="s">
        <v>8</v>
      </c>
      <c r="B9" s="4">
        <v>277</v>
      </c>
      <c r="C9" s="8">
        <v>138.5</v>
      </c>
      <c r="D9" s="4">
        <v>300</v>
      </c>
      <c r="E9" s="8">
        <v>150</v>
      </c>
      <c r="F9" s="8">
        <v>10</v>
      </c>
      <c r="G9" s="9">
        <v>5.8739999999999997E-4</v>
      </c>
      <c r="H9">
        <v>75.486363999999995</v>
      </c>
      <c r="I9" s="9">
        <f t="shared" si="0"/>
        <v>12.850930200885259</v>
      </c>
      <c r="K9" s="1" t="s">
        <v>72</v>
      </c>
      <c r="L9" s="4">
        <v>240</v>
      </c>
      <c r="M9" s="1">
        <f t="shared" si="1"/>
        <v>120</v>
      </c>
      <c r="N9" s="4">
        <v>240</v>
      </c>
      <c r="O9" s="1">
        <f t="shared" si="2"/>
        <v>120</v>
      </c>
      <c r="P9" s="1">
        <v>0</v>
      </c>
      <c r="Q9">
        <f t="shared" si="3"/>
        <v>4.523893421169302E-4</v>
      </c>
      <c r="R9">
        <v>41.490079000000001</v>
      </c>
      <c r="S9">
        <f t="shared" si="4"/>
        <v>9.1713210585045033</v>
      </c>
      <c r="U9" s="1" t="s">
        <v>7</v>
      </c>
      <c r="V9" s="4">
        <v>240</v>
      </c>
      <c r="W9" s="4">
        <f t="shared" si="5"/>
        <v>120</v>
      </c>
      <c r="X9" s="4">
        <v>240</v>
      </c>
      <c r="Y9" s="4">
        <f t="shared" si="6"/>
        <v>120</v>
      </c>
      <c r="Z9" s="1">
        <v>1</v>
      </c>
      <c r="AA9">
        <f t="shared" si="7"/>
        <v>4.4786544869576087E-4</v>
      </c>
      <c r="AB9" s="6">
        <v>38.953560000000003</v>
      </c>
      <c r="AC9">
        <f t="shared" si="8"/>
        <v>8.6976032898803766</v>
      </c>
      <c r="AE9" s="1" t="s">
        <v>130</v>
      </c>
      <c r="AF9" s="4">
        <v>277</v>
      </c>
      <c r="AG9" s="4">
        <f t="shared" si="9"/>
        <v>138.5</v>
      </c>
      <c r="AH9" s="4">
        <v>300</v>
      </c>
      <c r="AI9" s="4">
        <f t="shared" si="10"/>
        <v>150</v>
      </c>
      <c r="AJ9" s="1">
        <v>1</v>
      </c>
      <c r="AK9">
        <f t="shared" si="11"/>
        <v>6.4613921504544673E-4</v>
      </c>
      <c r="AL9">
        <v>56.425027999999998</v>
      </c>
      <c r="AM9">
        <f t="shared" si="12"/>
        <v>8.7326425460852573</v>
      </c>
    </row>
    <row r="10" spans="1:39" ht="14" customHeight="1" x14ac:dyDescent="0.2">
      <c r="A10" s="8" t="s">
        <v>9</v>
      </c>
      <c r="B10" s="4">
        <v>277</v>
      </c>
      <c r="C10" s="8">
        <v>138.5</v>
      </c>
      <c r="D10" s="4">
        <v>300</v>
      </c>
      <c r="E10" s="8">
        <v>150</v>
      </c>
      <c r="F10" s="8">
        <v>30</v>
      </c>
      <c r="G10" s="9">
        <v>4.5689999999999999E-4</v>
      </c>
      <c r="H10">
        <v>79.473035999999993</v>
      </c>
      <c r="I10" s="9">
        <f t="shared" si="0"/>
        <v>17.393967170059096</v>
      </c>
      <c r="K10" s="1" t="s">
        <v>73</v>
      </c>
      <c r="L10" s="1">
        <v>240</v>
      </c>
      <c r="M10" s="1">
        <f t="shared" si="1"/>
        <v>120</v>
      </c>
      <c r="N10" s="1">
        <v>240</v>
      </c>
      <c r="O10" s="1">
        <f t="shared" si="2"/>
        <v>120</v>
      </c>
      <c r="P10" s="1">
        <v>6</v>
      </c>
      <c r="Q10">
        <f t="shared" si="3"/>
        <v>4.2524598158991437E-4</v>
      </c>
      <c r="R10">
        <v>45.840294</v>
      </c>
      <c r="S10">
        <f t="shared" si="4"/>
        <v>10.779712445162163</v>
      </c>
      <c r="U10" s="1" t="s">
        <v>72</v>
      </c>
      <c r="V10" s="4">
        <v>240</v>
      </c>
      <c r="W10" s="4">
        <f t="shared" si="5"/>
        <v>120</v>
      </c>
      <c r="X10" s="4">
        <v>240</v>
      </c>
      <c r="Y10" s="4">
        <f t="shared" si="6"/>
        <v>120</v>
      </c>
      <c r="Z10" s="3">
        <v>15</v>
      </c>
      <c r="AA10">
        <f t="shared" si="7"/>
        <v>3.8453094079939066E-4</v>
      </c>
      <c r="AB10" s="6">
        <v>70.349109999999996</v>
      </c>
      <c r="AC10">
        <f t="shared" si="8"/>
        <v>18.294785291855369</v>
      </c>
      <c r="AE10" s="1" t="s">
        <v>10</v>
      </c>
      <c r="AF10" s="4">
        <v>277</v>
      </c>
      <c r="AG10" s="4">
        <f t="shared" si="9"/>
        <v>138.5</v>
      </c>
      <c r="AH10" s="4">
        <v>300</v>
      </c>
      <c r="AI10" s="4">
        <f t="shared" si="10"/>
        <v>150</v>
      </c>
      <c r="AJ10" s="3">
        <v>10</v>
      </c>
      <c r="AK10">
        <f t="shared" si="11"/>
        <v>5.8739928640495157E-4</v>
      </c>
      <c r="AL10">
        <v>74.735456999999997</v>
      </c>
      <c r="AM10">
        <f t="shared" si="12"/>
        <v>12.723109940667779</v>
      </c>
    </row>
    <row r="11" spans="1:39" x14ac:dyDescent="0.2">
      <c r="A11" s="8" t="s">
        <v>10</v>
      </c>
      <c r="B11" s="8">
        <v>300</v>
      </c>
      <c r="C11" s="8">
        <v>150</v>
      </c>
      <c r="D11" s="8">
        <v>340</v>
      </c>
      <c r="E11" s="8">
        <v>170</v>
      </c>
      <c r="F11" s="8">
        <v>2</v>
      </c>
      <c r="G11" s="9">
        <v>7.8509999999999995E-4</v>
      </c>
      <c r="H11">
        <v>92.406000000000006</v>
      </c>
      <c r="I11" s="9">
        <f t="shared" si="0"/>
        <v>11.769965609476502</v>
      </c>
      <c r="K11" s="1" t="s">
        <v>10</v>
      </c>
      <c r="L11" s="1">
        <v>240</v>
      </c>
      <c r="M11" s="1">
        <f t="shared" si="1"/>
        <v>120</v>
      </c>
      <c r="N11" s="1">
        <v>230</v>
      </c>
      <c r="O11" s="1">
        <f t="shared" si="2"/>
        <v>115</v>
      </c>
      <c r="P11" s="1">
        <v>6</v>
      </c>
      <c r="Q11">
        <f t="shared" si="3"/>
        <v>4.0752739902366787E-4</v>
      </c>
      <c r="R11">
        <v>46.876165999999998</v>
      </c>
      <c r="S11">
        <f t="shared" si="4"/>
        <v>11.502580222165033</v>
      </c>
      <c r="U11" s="1" t="s">
        <v>10</v>
      </c>
      <c r="V11" s="4">
        <v>240</v>
      </c>
      <c r="W11" s="4">
        <f t="shared" si="5"/>
        <v>120</v>
      </c>
      <c r="X11" s="4">
        <v>230</v>
      </c>
      <c r="Y11" s="4">
        <f t="shared" si="6"/>
        <v>115</v>
      </c>
      <c r="Z11" s="1">
        <v>5</v>
      </c>
      <c r="AA11">
        <f t="shared" si="7"/>
        <v>4.1186279688562187E-4</v>
      </c>
      <c r="AB11" s="6">
        <v>145.20769999999999</v>
      </c>
      <c r="AC11">
        <f t="shared" si="8"/>
        <v>35.256328344782624</v>
      </c>
      <c r="AE11" s="1" t="s">
        <v>11</v>
      </c>
      <c r="AF11" s="4">
        <v>300</v>
      </c>
      <c r="AG11" s="4">
        <f t="shared" si="9"/>
        <v>150</v>
      </c>
      <c r="AH11" s="4">
        <v>340</v>
      </c>
      <c r="AI11" s="4">
        <f t="shared" si="10"/>
        <v>170</v>
      </c>
      <c r="AJ11" s="1">
        <v>0</v>
      </c>
      <c r="AK11">
        <f t="shared" si="11"/>
        <v>8.0110612666539713E-4</v>
      </c>
      <c r="AL11">
        <v>70.429851999999997</v>
      </c>
      <c r="AM11">
        <f t="shared" si="12"/>
        <v>8.7915757545338131</v>
      </c>
    </row>
    <row r="12" spans="1:39" x14ac:dyDescent="0.2">
      <c r="A12" s="15" t="s">
        <v>11</v>
      </c>
      <c r="B12" s="4">
        <v>330</v>
      </c>
      <c r="C12" s="8">
        <v>165</v>
      </c>
      <c r="D12" s="4">
        <v>354</v>
      </c>
      <c r="E12" s="8">
        <v>177</v>
      </c>
      <c r="F12" s="8">
        <v>0</v>
      </c>
      <c r="G12" s="9">
        <v>9.1750000000000002E-4</v>
      </c>
      <c r="H12">
        <v>86.326072999999994</v>
      </c>
      <c r="I12" s="9">
        <f t="shared" si="0"/>
        <v>9.4088362942779273</v>
      </c>
      <c r="K12" s="1" t="s">
        <v>11</v>
      </c>
      <c r="L12" s="4">
        <v>240</v>
      </c>
      <c r="M12" s="1">
        <f t="shared" si="1"/>
        <v>120</v>
      </c>
      <c r="N12" s="4">
        <v>230</v>
      </c>
      <c r="O12" s="1">
        <f t="shared" si="2"/>
        <v>115</v>
      </c>
      <c r="P12" s="1">
        <v>1</v>
      </c>
      <c r="Q12">
        <f t="shared" si="3"/>
        <v>4.2920438833343754E-4</v>
      </c>
      <c r="R12">
        <v>43.910508999999998</v>
      </c>
      <c r="S12">
        <f t="shared" si="4"/>
        <v>10.23067568588956</v>
      </c>
      <c r="U12" s="1" t="s">
        <v>12</v>
      </c>
      <c r="V12" s="4">
        <v>240</v>
      </c>
      <c r="W12" s="4">
        <f t="shared" si="5"/>
        <v>120</v>
      </c>
      <c r="X12" s="4">
        <v>230</v>
      </c>
      <c r="Y12" s="4">
        <f t="shared" si="6"/>
        <v>115</v>
      </c>
      <c r="Z12" s="3">
        <v>40</v>
      </c>
      <c r="AA12">
        <f t="shared" si="7"/>
        <v>2.6012387171723482E-4</v>
      </c>
      <c r="AB12" s="6">
        <v>88.913880000000006</v>
      </c>
      <c r="AC12">
        <f t="shared" si="8"/>
        <v>34.181361138839655</v>
      </c>
      <c r="AE12" s="1" t="s">
        <v>13</v>
      </c>
      <c r="AF12" s="4">
        <v>330</v>
      </c>
      <c r="AG12" s="4">
        <f t="shared" si="9"/>
        <v>165</v>
      </c>
      <c r="AH12" s="4">
        <v>354</v>
      </c>
      <c r="AI12" s="4">
        <f t="shared" si="10"/>
        <v>177</v>
      </c>
      <c r="AJ12" s="3">
        <v>25</v>
      </c>
      <c r="AK12">
        <f t="shared" si="11"/>
        <v>6.8812660086067421E-4</v>
      </c>
      <c r="AL12">
        <v>68.582862000000006</v>
      </c>
      <c r="AM12">
        <f t="shared" si="12"/>
        <v>9.9666052604593407</v>
      </c>
    </row>
    <row r="13" spans="1:39" x14ac:dyDescent="0.2">
      <c r="A13" s="8" t="s">
        <v>12</v>
      </c>
      <c r="B13" s="4">
        <v>330</v>
      </c>
      <c r="C13" s="8">
        <v>165</v>
      </c>
      <c r="D13" s="4">
        <v>354</v>
      </c>
      <c r="E13" s="8">
        <v>177</v>
      </c>
      <c r="F13" s="8">
        <v>1</v>
      </c>
      <c r="G13" s="9">
        <v>9.0830000000000001E-4</v>
      </c>
      <c r="H13">
        <v>89.713229999999996</v>
      </c>
      <c r="I13" s="9">
        <f t="shared" si="0"/>
        <v>9.8770483320488829</v>
      </c>
      <c r="K13" s="1" t="s">
        <v>13</v>
      </c>
      <c r="L13" s="4">
        <v>240</v>
      </c>
      <c r="M13" s="1">
        <f t="shared" si="1"/>
        <v>120</v>
      </c>
      <c r="N13" s="4">
        <v>230</v>
      </c>
      <c r="O13" s="1">
        <f t="shared" si="2"/>
        <v>115</v>
      </c>
      <c r="P13" s="1">
        <v>2</v>
      </c>
      <c r="Q13">
        <f t="shared" si="3"/>
        <v>4.2486899047148354E-4</v>
      </c>
      <c r="R13">
        <v>43.845740999999997</v>
      </c>
      <c r="S13">
        <f t="shared" si="4"/>
        <v>10.319826107182761</v>
      </c>
      <c r="U13" s="1" t="s">
        <v>16</v>
      </c>
      <c r="V13" s="4">
        <v>240</v>
      </c>
      <c r="W13" s="4">
        <f t="shared" si="5"/>
        <v>120</v>
      </c>
      <c r="X13" s="4">
        <v>230</v>
      </c>
      <c r="Y13" s="4">
        <f t="shared" si="6"/>
        <v>115</v>
      </c>
      <c r="Z13" s="1">
        <v>3</v>
      </c>
      <c r="AA13">
        <f t="shared" si="7"/>
        <v>4.2053359260952965E-4</v>
      </c>
      <c r="AB13" s="6">
        <v>46.103439999999999</v>
      </c>
      <c r="AC13">
        <f t="shared" si="8"/>
        <v>10.963081382848666</v>
      </c>
      <c r="AE13" s="1" t="s">
        <v>14</v>
      </c>
      <c r="AF13" s="4">
        <v>330</v>
      </c>
      <c r="AG13" s="4">
        <f t="shared" si="9"/>
        <v>165</v>
      </c>
      <c r="AH13" s="4">
        <v>354</v>
      </c>
      <c r="AI13" s="4">
        <f t="shared" si="10"/>
        <v>177</v>
      </c>
      <c r="AJ13" s="3">
        <v>35</v>
      </c>
      <c r="AK13">
        <f t="shared" si="11"/>
        <v>5.9637638741258435E-4</v>
      </c>
      <c r="AL13">
        <v>65.575196000000005</v>
      </c>
      <c r="AM13">
        <f t="shared" si="12"/>
        <v>10.995605691986235</v>
      </c>
    </row>
    <row r="14" spans="1:39" x14ac:dyDescent="0.2">
      <c r="A14" s="8" t="s">
        <v>13</v>
      </c>
      <c r="B14" s="4">
        <v>330</v>
      </c>
      <c r="C14" s="8">
        <v>165</v>
      </c>
      <c r="D14" s="4">
        <v>354</v>
      </c>
      <c r="E14" s="8">
        <v>177</v>
      </c>
      <c r="F14" s="8">
        <v>2</v>
      </c>
      <c r="G14" s="9">
        <v>8.9919999999999996E-4</v>
      </c>
      <c r="H14">
        <v>82.254621999999998</v>
      </c>
      <c r="I14" s="9">
        <f t="shared" si="0"/>
        <v>9.1475335854092528</v>
      </c>
      <c r="K14" s="1" t="s">
        <v>14</v>
      </c>
      <c r="L14" s="4">
        <v>240</v>
      </c>
      <c r="M14" s="1">
        <f t="shared" si="1"/>
        <v>120</v>
      </c>
      <c r="N14" s="4">
        <v>230</v>
      </c>
      <c r="O14" s="1">
        <f t="shared" si="2"/>
        <v>115</v>
      </c>
      <c r="P14" s="1">
        <v>1</v>
      </c>
      <c r="Q14">
        <f t="shared" si="3"/>
        <v>4.2920438833343754E-4</v>
      </c>
      <c r="R14">
        <v>40.154198999999998</v>
      </c>
      <c r="S14">
        <f t="shared" si="4"/>
        <v>9.3554959109144207</v>
      </c>
      <c r="U14" s="1" t="s">
        <v>17</v>
      </c>
      <c r="V14" s="4">
        <v>240</v>
      </c>
      <c r="W14" s="4">
        <f t="shared" si="5"/>
        <v>120</v>
      </c>
      <c r="X14" s="4">
        <v>230</v>
      </c>
      <c r="Y14" s="4">
        <f t="shared" si="6"/>
        <v>115</v>
      </c>
      <c r="Z14" s="3">
        <v>40</v>
      </c>
      <c r="AA14">
        <f t="shared" si="7"/>
        <v>2.6012387171723482E-4</v>
      </c>
      <c r="AB14" s="6">
        <v>39.915900000000001</v>
      </c>
      <c r="AC14">
        <f t="shared" si="8"/>
        <v>15.344958437105767</v>
      </c>
      <c r="AE14" s="1" t="s">
        <v>15</v>
      </c>
      <c r="AF14" s="4">
        <v>330</v>
      </c>
      <c r="AG14" s="4">
        <f t="shared" si="9"/>
        <v>165</v>
      </c>
      <c r="AH14" s="4">
        <v>354</v>
      </c>
      <c r="AI14" s="4">
        <f t="shared" si="10"/>
        <v>177</v>
      </c>
      <c r="AJ14" s="1">
        <v>2</v>
      </c>
      <c r="AK14">
        <f t="shared" si="11"/>
        <v>8.9915209179128102E-4</v>
      </c>
      <c r="AL14">
        <v>58.494059999999998</v>
      </c>
      <c r="AM14">
        <f t="shared" si="12"/>
        <v>6.5054689339006897</v>
      </c>
    </row>
    <row r="15" spans="1:39" x14ac:dyDescent="0.2">
      <c r="A15" s="8" t="s">
        <v>14</v>
      </c>
      <c r="B15" s="4">
        <v>330</v>
      </c>
      <c r="C15" s="8">
        <v>165</v>
      </c>
      <c r="D15" s="4">
        <v>354</v>
      </c>
      <c r="E15" s="8">
        <v>177</v>
      </c>
      <c r="F15" s="8">
        <v>20</v>
      </c>
      <c r="G15" s="9">
        <v>7.3399999999999995E-4</v>
      </c>
      <c r="H15">
        <v>84.751591000000005</v>
      </c>
      <c r="I15" s="9">
        <f t="shared" si="0"/>
        <v>11.546538283378748</v>
      </c>
      <c r="K15" s="1" t="s">
        <v>15</v>
      </c>
      <c r="L15" s="1">
        <v>240</v>
      </c>
      <c r="M15" s="1">
        <f t="shared" si="1"/>
        <v>120</v>
      </c>
      <c r="N15" s="1">
        <v>230</v>
      </c>
      <c r="O15" s="1">
        <f t="shared" si="2"/>
        <v>115</v>
      </c>
      <c r="P15" s="1">
        <v>4</v>
      </c>
      <c r="Q15">
        <f t="shared" si="3"/>
        <v>4.1619819474757576E-4</v>
      </c>
      <c r="R15">
        <v>41.467879000000003</v>
      </c>
      <c r="S15">
        <f t="shared" si="4"/>
        <v>9.9634932403179395</v>
      </c>
      <c r="U15" s="1" t="s">
        <v>104</v>
      </c>
      <c r="V15" s="4">
        <v>240</v>
      </c>
      <c r="W15" s="4">
        <f t="shared" si="5"/>
        <v>120</v>
      </c>
      <c r="X15" s="4">
        <v>230</v>
      </c>
      <c r="Y15" s="4">
        <f t="shared" si="6"/>
        <v>115</v>
      </c>
      <c r="Z15" s="3">
        <v>22</v>
      </c>
      <c r="AA15">
        <f t="shared" si="7"/>
        <v>3.3816103323240534E-4</v>
      </c>
      <c r="AB15" s="6">
        <v>97.84402</v>
      </c>
      <c r="AC15">
        <f t="shared" si="8"/>
        <v>28.934149823452753</v>
      </c>
      <c r="AE15" s="1" t="s">
        <v>16</v>
      </c>
      <c r="AF15" s="4">
        <v>330</v>
      </c>
      <c r="AG15" s="4">
        <f t="shared" si="9"/>
        <v>165</v>
      </c>
      <c r="AH15" s="4">
        <v>354</v>
      </c>
      <c r="AI15" s="4">
        <f t="shared" si="10"/>
        <v>177</v>
      </c>
      <c r="AJ15" s="1">
        <v>4</v>
      </c>
      <c r="AK15">
        <f t="shared" si="11"/>
        <v>8.8080204910166303E-4</v>
      </c>
      <c r="AL15">
        <v>54.152119999999996</v>
      </c>
      <c r="AM15">
        <f t="shared" si="12"/>
        <v>6.1480465508941737</v>
      </c>
    </row>
    <row r="16" spans="1:39" x14ac:dyDescent="0.2">
      <c r="A16" s="8" t="s">
        <v>15</v>
      </c>
      <c r="B16" s="4">
        <v>330</v>
      </c>
      <c r="C16" s="8">
        <v>165</v>
      </c>
      <c r="D16" s="4">
        <v>354</v>
      </c>
      <c r="E16" s="8">
        <v>177</v>
      </c>
      <c r="F16" s="8">
        <v>1</v>
      </c>
      <c r="G16" s="9">
        <v>9.0830000000000001E-4</v>
      </c>
      <c r="H16">
        <v>92.173865000000006</v>
      </c>
      <c r="I16" s="9">
        <f t="shared" si="0"/>
        <v>10.147953869866784</v>
      </c>
      <c r="K16" s="1" t="s">
        <v>16</v>
      </c>
      <c r="L16" s="4">
        <v>240</v>
      </c>
      <c r="M16" s="1">
        <f t="shared" si="1"/>
        <v>120</v>
      </c>
      <c r="N16" s="4">
        <v>230</v>
      </c>
      <c r="O16" s="1">
        <f t="shared" si="2"/>
        <v>115</v>
      </c>
      <c r="P16" s="1">
        <v>10</v>
      </c>
      <c r="Q16">
        <f t="shared" si="3"/>
        <v>3.9018580757585231E-4</v>
      </c>
      <c r="R16">
        <v>45.194656000000002</v>
      </c>
      <c r="S16">
        <f t="shared" si="4"/>
        <v>11.582854917452153</v>
      </c>
      <c r="U16" s="1" t="s">
        <v>105</v>
      </c>
      <c r="V16" s="4">
        <v>240</v>
      </c>
      <c r="W16" s="4">
        <f t="shared" si="5"/>
        <v>120</v>
      </c>
      <c r="X16" s="4">
        <v>230</v>
      </c>
      <c r="Y16" s="4">
        <f t="shared" si="6"/>
        <v>115</v>
      </c>
      <c r="Z16" s="3">
        <v>80</v>
      </c>
      <c r="AA16">
        <f t="shared" si="7"/>
        <v>8.6707957239078254E-5</v>
      </c>
      <c r="AB16" s="6">
        <v>67.682580000000002</v>
      </c>
      <c r="AC16">
        <f t="shared" si="8"/>
        <v>78.058095421830856</v>
      </c>
      <c r="AE16" s="7" t="s">
        <v>17</v>
      </c>
      <c r="AF16" s="4">
        <v>330</v>
      </c>
      <c r="AG16" s="4">
        <f t="shared" si="9"/>
        <v>165</v>
      </c>
      <c r="AH16" s="4">
        <v>354</v>
      </c>
      <c r="AI16" s="4">
        <f t="shared" si="10"/>
        <v>177</v>
      </c>
      <c r="AJ16" s="3">
        <v>45</v>
      </c>
      <c r="AK16">
        <f t="shared" si="11"/>
        <v>5.0462617396449449E-4</v>
      </c>
    </row>
    <row r="17" spans="1:39" x14ac:dyDescent="0.2">
      <c r="A17" s="8" t="s">
        <v>16</v>
      </c>
      <c r="B17" s="4">
        <v>330</v>
      </c>
      <c r="C17" s="8">
        <v>165</v>
      </c>
      <c r="D17" s="4">
        <v>354</v>
      </c>
      <c r="E17" s="8">
        <v>177</v>
      </c>
      <c r="F17" s="8">
        <v>15</v>
      </c>
      <c r="G17" s="9">
        <v>7.7990000000000004E-4</v>
      </c>
      <c r="H17">
        <v>101.422943</v>
      </c>
      <c r="I17" s="9">
        <f t="shared" si="0"/>
        <v>13.004608667777919</v>
      </c>
      <c r="K17" s="1" t="s">
        <v>101</v>
      </c>
      <c r="L17" s="4">
        <v>240</v>
      </c>
      <c r="M17" s="1">
        <f t="shared" si="1"/>
        <v>120</v>
      </c>
      <c r="N17" s="4">
        <v>230</v>
      </c>
      <c r="O17" s="1">
        <f t="shared" si="2"/>
        <v>115</v>
      </c>
      <c r="P17" s="1">
        <v>0</v>
      </c>
      <c r="Q17">
        <f t="shared" si="3"/>
        <v>4.3353978619539143E-4</v>
      </c>
      <c r="R17">
        <v>42.742046999999999</v>
      </c>
      <c r="S17">
        <f t="shared" si="4"/>
        <v>9.8588522578494437</v>
      </c>
      <c r="U17" s="1" t="s">
        <v>19</v>
      </c>
      <c r="V17" s="4">
        <v>240</v>
      </c>
      <c r="W17" s="4">
        <f t="shared" si="5"/>
        <v>120</v>
      </c>
      <c r="X17" s="4">
        <v>230</v>
      </c>
      <c r="Y17" s="4">
        <f t="shared" si="6"/>
        <v>115</v>
      </c>
      <c r="Z17" s="1">
        <v>8</v>
      </c>
      <c r="AA17">
        <f t="shared" si="7"/>
        <v>3.9885660329976009E-4</v>
      </c>
      <c r="AB17" s="6">
        <v>59.848520000000001</v>
      </c>
      <c r="AC17">
        <f t="shared" si="8"/>
        <v>15.005021730835164</v>
      </c>
      <c r="AE17" s="1" t="s">
        <v>143</v>
      </c>
      <c r="AF17" s="4">
        <v>330</v>
      </c>
      <c r="AG17" s="4">
        <f t="shared" si="9"/>
        <v>165</v>
      </c>
      <c r="AH17" s="4">
        <v>354</v>
      </c>
      <c r="AI17" s="4">
        <f t="shared" si="10"/>
        <v>177</v>
      </c>
      <c r="AJ17" s="1">
        <v>4</v>
      </c>
      <c r="AK17">
        <f t="shared" si="11"/>
        <v>8.8080204910166303E-4</v>
      </c>
      <c r="AL17">
        <v>66.810558999999998</v>
      </c>
      <c r="AM17">
        <f t="shared" si="12"/>
        <v>7.5851956825192008</v>
      </c>
    </row>
    <row r="18" spans="1:39" x14ac:dyDescent="0.2">
      <c r="A18" s="15" t="s">
        <v>17</v>
      </c>
      <c r="B18" s="8">
        <v>360</v>
      </c>
      <c r="C18" s="8">
        <v>180</v>
      </c>
      <c r="D18" s="8">
        <v>368</v>
      </c>
      <c r="E18" s="8">
        <v>184</v>
      </c>
      <c r="F18" s="8">
        <v>10</v>
      </c>
      <c r="G18" s="9">
        <v>9.3639999999999999E-4</v>
      </c>
      <c r="H18">
        <v>109.91707599999999</v>
      </c>
      <c r="I18" s="9">
        <f t="shared" si="0"/>
        <v>11.738260999572832</v>
      </c>
      <c r="K18" s="1" t="s">
        <v>74</v>
      </c>
      <c r="L18" s="1">
        <v>240</v>
      </c>
      <c r="M18" s="1">
        <f t="shared" si="1"/>
        <v>120</v>
      </c>
      <c r="N18" s="1">
        <v>230</v>
      </c>
      <c r="O18" s="1">
        <f t="shared" si="2"/>
        <v>115</v>
      </c>
      <c r="P18" s="1">
        <v>10</v>
      </c>
      <c r="Q18">
        <f t="shared" si="3"/>
        <v>3.9018580757585231E-4</v>
      </c>
      <c r="R18">
        <v>42.776873999999999</v>
      </c>
      <c r="S18">
        <f t="shared" si="4"/>
        <v>10.963206034008337</v>
      </c>
      <c r="U18" s="1" t="s">
        <v>106</v>
      </c>
      <c r="V18" s="4">
        <v>240</v>
      </c>
      <c r="W18" s="4">
        <f t="shared" si="5"/>
        <v>120</v>
      </c>
      <c r="X18" s="4">
        <v>230</v>
      </c>
      <c r="Y18" s="4">
        <f t="shared" si="6"/>
        <v>115</v>
      </c>
      <c r="Z18" s="3">
        <v>35</v>
      </c>
      <c r="AA18">
        <f t="shared" si="7"/>
        <v>2.8180086102700443E-4</v>
      </c>
      <c r="AB18" s="6">
        <v>51.643039999999999</v>
      </c>
      <c r="AC18">
        <f t="shared" si="8"/>
        <v>18.326076014030043</v>
      </c>
      <c r="AE18" s="1" t="s">
        <v>144</v>
      </c>
      <c r="AF18" s="4">
        <v>360</v>
      </c>
      <c r="AG18" s="4">
        <f t="shared" si="9"/>
        <v>180</v>
      </c>
      <c r="AH18" s="4">
        <v>368</v>
      </c>
      <c r="AI18" s="4">
        <f t="shared" si="10"/>
        <v>184</v>
      </c>
      <c r="AJ18" s="1">
        <v>1</v>
      </c>
      <c r="AK18">
        <f t="shared" si="11"/>
        <v>1.0300905320002501E-3</v>
      </c>
      <c r="AL18">
        <v>53.641423000000003</v>
      </c>
      <c r="AM18">
        <f t="shared" si="12"/>
        <v>5.2074474362790264</v>
      </c>
    </row>
    <row r="19" spans="1:39" x14ac:dyDescent="0.2">
      <c r="A19" s="8" t="s">
        <v>18</v>
      </c>
      <c r="B19" s="4">
        <v>330</v>
      </c>
      <c r="C19" s="8">
        <v>165</v>
      </c>
      <c r="D19" s="4">
        <v>354</v>
      </c>
      <c r="E19" s="8">
        <v>177</v>
      </c>
      <c r="F19" s="8">
        <v>7</v>
      </c>
      <c r="G19" s="9">
        <v>8.5329999999999998E-4</v>
      </c>
      <c r="H19">
        <v>90.175482000000002</v>
      </c>
      <c r="I19" s="9">
        <f t="shared" si="0"/>
        <v>10.567852103597799</v>
      </c>
      <c r="K19" s="1" t="s">
        <v>21</v>
      </c>
      <c r="L19" s="1">
        <v>250</v>
      </c>
      <c r="M19" s="1">
        <f t="shared" si="1"/>
        <v>125</v>
      </c>
      <c r="N19" s="1">
        <v>240</v>
      </c>
      <c r="O19" s="1">
        <f t="shared" si="2"/>
        <v>120</v>
      </c>
      <c r="P19" s="1">
        <v>5</v>
      </c>
      <c r="Q19">
        <f t="shared" si="3"/>
        <v>4.4767695313654543E-4</v>
      </c>
      <c r="R19">
        <v>44.197685</v>
      </c>
      <c r="S19">
        <f t="shared" si="4"/>
        <v>9.8726737417101997</v>
      </c>
      <c r="U19" s="1" t="s">
        <v>20</v>
      </c>
      <c r="V19" s="4">
        <v>250</v>
      </c>
      <c r="W19" s="4">
        <f t="shared" si="5"/>
        <v>125</v>
      </c>
      <c r="X19" s="4">
        <v>240</v>
      </c>
      <c r="Y19" s="4">
        <f t="shared" si="6"/>
        <v>120</v>
      </c>
      <c r="Z19" s="1">
        <v>3</v>
      </c>
      <c r="AA19">
        <f t="shared" si="7"/>
        <v>4.5710173109731486E-4</v>
      </c>
      <c r="AB19" s="6">
        <v>98.239660000000001</v>
      </c>
      <c r="AC19">
        <f t="shared" si="8"/>
        <v>21.49185910194797</v>
      </c>
      <c r="AE19" s="1" t="s">
        <v>20</v>
      </c>
      <c r="AF19" s="4">
        <v>330</v>
      </c>
      <c r="AG19" s="4">
        <f t="shared" si="9"/>
        <v>165</v>
      </c>
      <c r="AH19" s="4">
        <v>354</v>
      </c>
      <c r="AI19" s="4">
        <f t="shared" si="10"/>
        <v>177</v>
      </c>
      <c r="AJ19" s="1">
        <v>15</v>
      </c>
      <c r="AK19">
        <f t="shared" si="11"/>
        <v>7.7987681430876418E-4</v>
      </c>
      <c r="AL19">
        <v>76.505741</v>
      </c>
      <c r="AM19">
        <f t="shared" si="12"/>
        <v>9.8099776267627714</v>
      </c>
    </row>
    <row r="20" spans="1:39" x14ac:dyDescent="0.2">
      <c r="A20" s="8" t="s">
        <v>19</v>
      </c>
      <c r="B20" s="4">
        <v>330</v>
      </c>
      <c r="C20" s="8">
        <v>165</v>
      </c>
      <c r="D20" s="4">
        <v>354</v>
      </c>
      <c r="E20" s="8">
        <v>177</v>
      </c>
      <c r="F20" s="8">
        <v>7</v>
      </c>
      <c r="G20" s="9">
        <v>8.5329999999999998E-4</v>
      </c>
      <c r="H20">
        <v>101.457258</v>
      </c>
      <c r="I20" s="9">
        <f t="shared" si="0"/>
        <v>11.889986874487285</v>
      </c>
      <c r="K20" s="1" t="s">
        <v>22</v>
      </c>
      <c r="L20" s="1">
        <v>250</v>
      </c>
      <c r="M20" s="1">
        <f t="shared" si="1"/>
        <v>125</v>
      </c>
      <c r="N20" s="1">
        <v>240</v>
      </c>
      <c r="O20" s="1">
        <f t="shared" si="2"/>
        <v>120</v>
      </c>
      <c r="P20" s="1">
        <v>8</v>
      </c>
      <c r="Q20">
        <f t="shared" si="3"/>
        <v>4.3353978619539143E-4</v>
      </c>
      <c r="R20">
        <v>44.250231999999997</v>
      </c>
      <c r="S20">
        <f t="shared" si="4"/>
        <v>10.206729211250966</v>
      </c>
      <c r="U20" s="1" t="s">
        <v>22</v>
      </c>
      <c r="V20" s="4">
        <v>250</v>
      </c>
      <c r="W20" s="4">
        <f t="shared" si="5"/>
        <v>125</v>
      </c>
      <c r="X20" s="4">
        <v>240</v>
      </c>
      <c r="Y20" s="4">
        <f t="shared" si="6"/>
        <v>120</v>
      </c>
      <c r="Z20" s="3">
        <v>80</v>
      </c>
      <c r="AA20">
        <f t="shared" si="7"/>
        <v>9.4247779607693757E-5</v>
      </c>
      <c r="AB20" s="6">
        <v>78.911869999999993</v>
      </c>
      <c r="AC20">
        <f t="shared" si="8"/>
        <v>83.728094527500318</v>
      </c>
      <c r="AE20" s="1" t="s">
        <v>22</v>
      </c>
      <c r="AF20" s="4">
        <v>330</v>
      </c>
      <c r="AG20" s="4">
        <f t="shared" si="9"/>
        <v>165</v>
      </c>
      <c r="AH20" s="4">
        <v>354</v>
      </c>
      <c r="AI20" s="4">
        <f t="shared" si="10"/>
        <v>177</v>
      </c>
      <c r="AJ20" s="1">
        <v>8</v>
      </c>
      <c r="AK20">
        <f t="shared" si="11"/>
        <v>8.4410196372242704E-4</v>
      </c>
      <c r="AL20">
        <v>64.862640999999996</v>
      </c>
      <c r="AM20">
        <f t="shared" si="12"/>
        <v>7.6842187067022758</v>
      </c>
    </row>
    <row r="21" spans="1:39" x14ac:dyDescent="0.2">
      <c r="A21" s="8" t="s">
        <v>20</v>
      </c>
      <c r="B21" s="8">
        <v>330</v>
      </c>
      <c r="C21" s="8">
        <v>165</v>
      </c>
      <c r="D21" s="8">
        <v>380</v>
      </c>
      <c r="E21" s="8">
        <v>190</v>
      </c>
      <c r="F21" s="8">
        <v>1</v>
      </c>
      <c r="G21" s="9">
        <v>9.7499999999999996E-4</v>
      </c>
      <c r="H21">
        <v>102.799606</v>
      </c>
      <c r="I21" s="9">
        <f t="shared" si="0"/>
        <v>10.543549333333335</v>
      </c>
      <c r="K21" s="1" t="s">
        <v>75</v>
      </c>
      <c r="L21" s="4">
        <v>242</v>
      </c>
      <c r="M21" s="1">
        <f t="shared" si="1"/>
        <v>121</v>
      </c>
      <c r="N21" s="4">
        <v>235</v>
      </c>
      <c r="O21" s="1">
        <f t="shared" si="2"/>
        <v>117.5</v>
      </c>
      <c r="P21" s="1">
        <v>1</v>
      </c>
      <c r="Q21">
        <f t="shared" si="3"/>
        <v>4.421893761688876E-4</v>
      </c>
      <c r="R21">
        <v>42.435318000000002</v>
      </c>
      <c r="S21">
        <f t="shared" si="4"/>
        <v>9.5966389712159135</v>
      </c>
      <c r="U21" s="1" t="s">
        <v>75</v>
      </c>
      <c r="V21" s="4">
        <v>242</v>
      </c>
      <c r="W21" s="4">
        <f t="shared" si="5"/>
        <v>121</v>
      </c>
      <c r="X21" s="4">
        <v>235</v>
      </c>
      <c r="Y21" s="4">
        <f t="shared" si="6"/>
        <v>117.5</v>
      </c>
      <c r="Z21" s="3">
        <v>80</v>
      </c>
      <c r="AA21">
        <f t="shared" si="7"/>
        <v>8.9331187104825749E-5</v>
      </c>
      <c r="AB21" s="6">
        <v>27.38523</v>
      </c>
      <c r="AC21">
        <f t="shared" si="8"/>
        <v>30.655844713968463</v>
      </c>
      <c r="AE21" s="1" t="s">
        <v>23</v>
      </c>
      <c r="AF21" s="4">
        <v>330</v>
      </c>
      <c r="AG21" s="4">
        <f t="shared" si="9"/>
        <v>165</v>
      </c>
      <c r="AH21" s="4">
        <v>380</v>
      </c>
      <c r="AI21" s="4">
        <f t="shared" si="10"/>
        <v>190</v>
      </c>
      <c r="AJ21" s="1">
        <v>12</v>
      </c>
      <c r="AK21">
        <f t="shared" si="11"/>
        <v>8.6670258127235209E-4</v>
      </c>
      <c r="AL21">
        <v>52.448448999999997</v>
      </c>
      <c r="AM21">
        <f t="shared" si="12"/>
        <v>6.051493341926327</v>
      </c>
    </row>
    <row r="22" spans="1:39" x14ac:dyDescent="0.2">
      <c r="A22" s="8" t="s">
        <v>21</v>
      </c>
      <c r="B22" s="4">
        <v>376</v>
      </c>
      <c r="C22" s="8">
        <v>188</v>
      </c>
      <c r="D22" s="4">
        <v>396</v>
      </c>
      <c r="E22" s="8">
        <v>198</v>
      </c>
      <c r="F22" s="8">
        <v>1</v>
      </c>
      <c r="G22" s="9">
        <v>1.1577E-3</v>
      </c>
      <c r="H22">
        <v>109.129835</v>
      </c>
      <c r="I22" s="9">
        <f t="shared" si="0"/>
        <v>9.4264347412974008</v>
      </c>
      <c r="K22" s="1" t="s">
        <v>23</v>
      </c>
      <c r="L22" s="1">
        <v>230</v>
      </c>
      <c r="M22" s="1">
        <f t="shared" si="1"/>
        <v>115</v>
      </c>
      <c r="N22" s="1">
        <v>230</v>
      </c>
      <c r="O22" s="1">
        <f t="shared" si="2"/>
        <v>115</v>
      </c>
      <c r="P22" s="1">
        <v>8</v>
      </c>
      <c r="Q22">
        <f t="shared" si="3"/>
        <v>3.8223757816227024E-4</v>
      </c>
      <c r="R22">
        <v>38.429104000000002</v>
      </c>
      <c r="S22">
        <f t="shared" si="4"/>
        <v>10.053722133956647</v>
      </c>
      <c r="U22" s="1" t="s">
        <v>107</v>
      </c>
      <c r="V22" s="4">
        <v>230</v>
      </c>
      <c r="W22" s="4">
        <f t="shared" si="5"/>
        <v>115</v>
      </c>
      <c r="X22" s="4">
        <v>230</v>
      </c>
      <c r="Y22" s="4">
        <f t="shared" si="6"/>
        <v>115</v>
      </c>
      <c r="Z22" s="3">
        <v>35</v>
      </c>
      <c r="AA22">
        <f t="shared" si="7"/>
        <v>2.7005915848421263E-4</v>
      </c>
      <c r="AB22" s="6">
        <v>42.773209999999999</v>
      </c>
      <c r="AC22">
        <f t="shared" si="8"/>
        <v>15.838459336123746</v>
      </c>
      <c r="AE22" s="1" t="s">
        <v>24</v>
      </c>
      <c r="AF22" s="4">
        <v>376</v>
      </c>
      <c r="AG22" s="4">
        <f t="shared" si="9"/>
        <v>188</v>
      </c>
      <c r="AH22" s="4">
        <v>396</v>
      </c>
      <c r="AI22" s="4">
        <f t="shared" si="10"/>
        <v>198</v>
      </c>
      <c r="AJ22" s="1">
        <v>1</v>
      </c>
      <c r="AK22">
        <f t="shared" si="11"/>
        <v>1.157732184878542E-3</v>
      </c>
      <c r="AL22">
        <v>58.689861000000001</v>
      </c>
      <c r="AM22">
        <f t="shared" si="12"/>
        <v>5.0693814827439709</v>
      </c>
    </row>
    <row r="23" spans="1:39" x14ac:dyDescent="0.2">
      <c r="A23" s="8" t="s">
        <v>22</v>
      </c>
      <c r="B23" s="8">
        <v>370</v>
      </c>
      <c r="C23" s="8">
        <v>185</v>
      </c>
      <c r="D23" s="8">
        <v>390</v>
      </c>
      <c r="E23" s="8">
        <v>195</v>
      </c>
      <c r="F23" s="8">
        <v>8</v>
      </c>
      <c r="G23" s="9">
        <v>1.0426999999999999E-3</v>
      </c>
      <c r="H23">
        <v>105.522654</v>
      </c>
      <c r="I23" s="9">
        <f t="shared" si="0"/>
        <v>10.120135609475401</v>
      </c>
      <c r="K23" s="1" t="s">
        <v>25</v>
      </c>
      <c r="L23" s="4">
        <v>242</v>
      </c>
      <c r="M23" s="1">
        <f t="shared" si="1"/>
        <v>121</v>
      </c>
      <c r="N23" s="4">
        <v>235</v>
      </c>
      <c r="O23" s="1">
        <f t="shared" si="2"/>
        <v>117.5</v>
      </c>
      <c r="P23" s="1">
        <v>1</v>
      </c>
      <c r="Q23">
        <f t="shared" si="3"/>
        <v>4.421893761688876E-4</v>
      </c>
      <c r="R23">
        <v>52.599842000000002</v>
      </c>
      <c r="S23">
        <f t="shared" si="4"/>
        <v>11.895320158010826</v>
      </c>
      <c r="U23" s="1" t="s">
        <v>24</v>
      </c>
      <c r="V23" s="4">
        <v>242</v>
      </c>
      <c r="W23" s="4">
        <f t="shared" si="5"/>
        <v>121</v>
      </c>
      <c r="X23" s="4">
        <v>235</v>
      </c>
      <c r="Y23" s="4">
        <f t="shared" si="6"/>
        <v>117.5</v>
      </c>
      <c r="Z23" s="3">
        <v>25</v>
      </c>
      <c r="AA23">
        <f t="shared" si="7"/>
        <v>3.3499195164309671E-4</v>
      </c>
      <c r="AB23" s="6">
        <v>46.23948</v>
      </c>
      <c r="AC23">
        <f t="shared" si="8"/>
        <v>13.803161470954961</v>
      </c>
      <c r="AE23" s="1" t="s">
        <v>25</v>
      </c>
      <c r="AF23" s="4">
        <v>370</v>
      </c>
      <c r="AG23" s="4">
        <f t="shared" si="9"/>
        <v>185</v>
      </c>
      <c r="AH23" s="4">
        <v>390</v>
      </c>
      <c r="AI23" s="4">
        <f t="shared" si="10"/>
        <v>195</v>
      </c>
      <c r="AJ23" s="1">
        <v>1</v>
      </c>
      <c r="AK23">
        <f t="shared" si="11"/>
        <v>1.1219962542846928E-3</v>
      </c>
      <c r="AL23">
        <v>53.877594999999999</v>
      </c>
      <c r="AM23">
        <f t="shared" si="12"/>
        <v>4.8019407189865024</v>
      </c>
    </row>
    <row r="24" spans="1:39" x14ac:dyDescent="0.2">
      <c r="A24" s="8" t="s">
        <v>23</v>
      </c>
      <c r="B24" s="8">
        <v>360</v>
      </c>
      <c r="C24" s="8">
        <v>180</v>
      </c>
      <c r="D24" s="8">
        <v>380</v>
      </c>
      <c r="E24" s="8">
        <v>190</v>
      </c>
      <c r="F24" s="8">
        <v>10</v>
      </c>
      <c r="G24" s="9">
        <v>9.6699999999999998E-4</v>
      </c>
      <c r="H24">
        <v>106.05353700000001</v>
      </c>
      <c r="I24" s="9">
        <f t="shared" si="0"/>
        <v>10.96727373319545</v>
      </c>
      <c r="K24" s="1" t="s">
        <v>76</v>
      </c>
      <c r="L24" s="1">
        <v>230</v>
      </c>
      <c r="M24" s="1">
        <f t="shared" si="1"/>
        <v>115</v>
      </c>
      <c r="N24" s="1">
        <v>240</v>
      </c>
      <c r="O24" s="1">
        <f t="shared" si="2"/>
        <v>120</v>
      </c>
      <c r="P24" s="3">
        <v>8</v>
      </c>
      <c r="Q24">
        <f t="shared" si="3"/>
        <v>3.988566032997602E-4</v>
      </c>
      <c r="R24">
        <v>101.899325</v>
      </c>
      <c r="S24">
        <f t="shared" si="4"/>
        <v>25.547859595900356</v>
      </c>
      <c r="U24" s="1" t="s">
        <v>25</v>
      </c>
      <c r="V24" s="4">
        <v>230</v>
      </c>
      <c r="W24" s="4">
        <f t="shared" si="5"/>
        <v>115</v>
      </c>
      <c r="X24" s="4">
        <v>240</v>
      </c>
      <c r="Y24" s="4">
        <f t="shared" si="6"/>
        <v>120</v>
      </c>
      <c r="Z24" s="3">
        <v>50</v>
      </c>
      <c r="AA24">
        <f t="shared" si="7"/>
        <v>2.1676989309769574E-4</v>
      </c>
      <c r="AB24" s="6">
        <v>40.626510000000003</v>
      </c>
      <c r="AC24">
        <f t="shared" si="8"/>
        <v>18.741767788615412</v>
      </c>
      <c r="AE24" s="1" t="s">
        <v>131</v>
      </c>
      <c r="AF24" s="4">
        <v>360</v>
      </c>
      <c r="AG24" s="4">
        <f t="shared" si="9"/>
        <v>180</v>
      </c>
      <c r="AH24" s="4">
        <v>380</v>
      </c>
      <c r="AI24" s="4">
        <f t="shared" si="10"/>
        <v>190</v>
      </c>
      <c r="AJ24" s="1">
        <v>6</v>
      </c>
      <c r="AK24">
        <f t="shared" si="11"/>
        <v>1.0099592062760468E-3</v>
      </c>
      <c r="AL24">
        <v>70.395536000000007</v>
      </c>
      <c r="AM24">
        <f t="shared" si="12"/>
        <v>6.9701365721061777</v>
      </c>
    </row>
    <row r="25" spans="1:39" x14ac:dyDescent="0.2">
      <c r="A25" s="8" t="s">
        <v>24</v>
      </c>
      <c r="B25" s="8">
        <v>390</v>
      </c>
      <c r="C25" s="8">
        <v>195</v>
      </c>
      <c r="D25" s="8">
        <v>390</v>
      </c>
      <c r="E25" s="8">
        <v>195</v>
      </c>
      <c r="F25" s="8">
        <v>2</v>
      </c>
      <c r="G25" s="9">
        <v>1.1707E-3</v>
      </c>
      <c r="H25">
        <v>99.228758999999997</v>
      </c>
      <c r="I25" s="9">
        <f t="shared" si="0"/>
        <v>8.4760193901084815</v>
      </c>
      <c r="K25" s="1" t="s">
        <v>28</v>
      </c>
      <c r="L25" s="1">
        <v>240</v>
      </c>
      <c r="M25" s="1">
        <f t="shared" si="1"/>
        <v>120</v>
      </c>
      <c r="N25" s="1">
        <v>240</v>
      </c>
      <c r="O25" s="1">
        <f t="shared" si="2"/>
        <v>120</v>
      </c>
      <c r="P25" s="1">
        <v>1</v>
      </c>
      <c r="Q25">
        <f t="shared" si="3"/>
        <v>4.4786544869576087E-4</v>
      </c>
      <c r="R25">
        <v>113.047875</v>
      </c>
      <c r="S25">
        <f t="shared" si="4"/>
        <v>25.24148163900772</v>
      </c>
      <c r="U25" s="1" t="s">
        <v>108</v>
      </c>
      <c r="V25" s="4">
        <v>240</v>
      </c>
      <c r="W25" s="4">
        <f t="shared" si="5"/>
        <v>120</v>
      </c>
      <c r="X25" s="4">
        <v>240</v>
      </c>
      <c r="Y25" s="4">
        <f t="shared" si="6"/>
        <v>120</v>
      </c>
      <c r="Z25" s="1">
        <v>22</v>
      </c>
      <c r="AA25">
        <f t="shared" si="7"/>
        <v>3.5286368685120555E-4</v>
      </c>
      <c r="AB25" s="6">
        <v>73.510189999999994</v>
      </c>
      <c r="AC25">
        <f t="shared" si="8"/>
        <v>20.832461015178801</v>
      </c>
      <c r="AE25" s="1" t="s">
        <v>132</v>
      </c>
      <c r="AF25" s="4">
        <v>390</v>
      </c>
      <c r="AG25" s="4">
        <f t="shared" si="9"/>
        <v>195</v>
      </c>
      <c r="AH25" s="4">
        <v>390</v>
      </c>
      <c r="AI25" s="4">
        <f t="shared" si="10"/>
        <v>195</v>
      </c>
      <c r="AJ25" s="1">
        <v>2</v>
      </c>
      <c r="AK25">
        <f t="shared" si="11"/>
        <v>1.1706987943969685E-3</v>
      </c>
      <c r="AL25">
        <v>66.324083999999999</v>
      </c>
      <c r="AM25">
        <f t="shared" si="12"/>
        <v>5.6653414454196813</v>
      </c>
    </row>
    <row r="26" spans="1:39" x14ac:dyDescent="0.2">
      <c r="A26" s="8" t="s">
        <v>25</v>
      </c>
      <c r="B26" s="8">
        <v>430</v>
      </c>
      <c r="C26" s="8">
        <v>215</v>
      </c>
      <c r="D26" s="8">
        <v>440</v>
      </c>
      <c r="E26" s="8">
        <v>220</v>
      </c>
      <c r="F26" s="8">
        <v>2</v>
      </c>
      <c r="G26" s="9">
        <v>1.4563E-3</v>
      </c>
      <c r="H26">
        <v>131.17057700000001</v>
      </c>
      <c r="I26" s="9">
        <f t="shared" si="0"/>
        <v>9.0071123394904902</v>
      </c>
      <c r="K26" s="1" t="s">
        <v>77</v>
      </c>
      <c r="L26" s="4">
        <v>235</v>
      </c>
      <c r="M26" s="1">
        <f t="shared" si="1"/>
        <v>117.5</v>
      </c>
      <c r="N26" s="4">
        <v>240</v>
      </c>
      <c r="O26" s="1">
        <f t="shared" si="2"/>
        <v>120</v>
      </c>
      <c r="P26" s="1">
        <v>0</v>
      </c>
      <c r="Q26">
        <f t="shared" si="3"/>
        <v>4.4296456415616087E-4</v>
      </c>
      <c r="R26">
        <v>47.790854000000003</v>
      </c>
      <c r="S26">
        <f t="shared" si="4"/>
        <v>10.788866168344793</v>
      </c>
      <c r="U26" s="1" t="s">
        <v>109</v>
      </c>
      <c r="V26" s="4">
        <v>235</v>
      </c>
      <c r="W26" s="4">
        <f t="shared" si="5"/>
        <v>117.5</v>
      </c>
      <c r="X26" s="4">
        <v>240</v>
      </c>
      <c r="Y26" s="4">
        <f t="shared" si="6"/>
        <v>120</v>
      </c>
      <c r="Z26" s="3">
        <v>25</v>
      </c>
      <c r="AA26">
        <f t="shared" si="7"/>
        <v>3.3222342311712064E-4</v>
      </c>
      <c r="AB26" s="6">
        <v>54.769799999999996</v>
      </c>
      <c r="AC26">
        <f t="shared" si="8"/>
        <v>16.485833384689343</v>
      </c>
      <c r="AE26" s="16" t="s">
        <v>109</v>
      </c>
      <c r="AF26" s="4">
        <v>430</v>
      </c>
      <c r="AG26" s="4">
        <f t="shared" si="9"/>
        <v>215</v>
      </c>
      <c r="AH26" s="4">
        <v>440</v>
      </c>
      <c r="AI26" s="4">
        <f t="shared" si="10"/>
        <v>220</v>
      </c>
      <c r="AJ26" s="1">
        <v>12</v>
      </c>
      <c r="AK26">
        <f t="shared" si="11"/>
        <v>1.3076565261302155E-3</v>
      </c>
      <c r="AL26">
        <v>63.496071000000001</v>
      </c>
      <c r="AM26">
        <f t="shared" si="12"/>
        <v>4.855714763868896</v>
      </c>
    </row>
    <row r="27" spans="1:39" x14ac:dyDescent="0.2">
      <c r="A27" s="8" t="s">
        <v>26</v>
      </c>
      <c r="B27" s="4">
        <v>376</v>
      </c>
      <c r="C27" s="8">
        <v>188</v>
      </c>
      <c r="D27" s="4">
        <v>396</v>
      </c>
      <c r="E27" s="8">
        <v>198</v>
      </c>
      <c r="F27" s="8">
        <v>4</v>
      </c>
      <c r="G27" s="9">
        <v>1.1226000000000001E-3</v>
      </c>
      <c r="H27">
        <v>108.853291</v>
      </c>
      <c r="I27" s="9">
        <f t="shared" si="0"/>
        <v>9.6965340281489389</v>
      </c>
      <c r="K27" s="1" t="s">
        <v>29</v>
      </c>
      <c r="L27" s="4">
        <v>200</v>
      </c>
      <c r="M27" s="1">
        <f t="shared" si="1"/>
        <v>100</v>
      </c>
      <c r="N27" s="4">
        <v>240</v>
      </c>
      <c r="O27" s="1">
        <f t="shared" si="2"/>
        <v>120</v>
      </c>
      <c r="P27" s="1">
        <v>0</v>
      </c>
      <c r="Q27">
        <f t="shared" si="3"/>
        <v>3.7699111843077519E-4</v>
      </c>
      <c r="R27">
        <v>46.524630000000002</v>
      </c>
      <c r="S27">
        <f t="shared" si="4"/>
        <v>12.341041400035813</v>
      </c>
      <c r="U27" s="1" t="s">
        <v>110</v>
      </c>
      <c r="V27" s="4">
        <v>200</v>
      </c>
      <c r="W27" s="4">
        <f t="shared" si="5"/>
        <v>100</v>
      </c>
      <c r="X27" s="4">
        <v>240</v>
      </c>
      <c r="Y27" s="4">
        <f t="shared" si="6"/>
        <v>120</v>
      </c>
      <c r="Z27" s="3">
        <v>75</v>
      </c>
      <c r="AA27">
        <f t="shared" si="7"/>
        <v>9.4247779607693798E-5</v>
      </c>
      <c r="AB27" s="6">
        <v>43.889330000000001</v>
      </c>
      <c r="AC27">
        <f t="shared" si="8"/>
        <v>46.568025456609433</v>
      </c>
      <c r="AE27" s="1" t="s">
        <v>111</v>
      </c>
      <c r="AF27" s="4">
        <v>376</v>
      </c>
      <c r="AG27" s="4">
        <f t="shared" si="9"/>
        <v>188</v>
      </c>
      <c r="AH27" s="4">
        <v>396</v>
      </c>
      <c r="AI27" s="4">
        <f t="shared" si="10"/>
        <v>198</v>
      </c>
      <c r="AJ27" s="3">
        <v>80</v>
      </c>
      <c r="AK27">
        <f t="shared" si="11"/>
        <v>2.3388528987445287E-4</v>
      </c>
      <c r="AL27">
        <v>55.597414999999998</v>
      </c>
      <c r="AM27">
        <f t="shared" si="12"/>
        <v>23.771232055613286</v>
      </c>
    </row>
    <row r="28" spans="1:39" x14ac:dyDescent="0.2">
      <c r="A28" s="8" t="s">
        <v>27</v>
      </c>
      <c r="B28" s="4">
        <v>376</v>
      </c>
      <c r="C28" s="8">
        <v>188</v>
      </c>
      <c r="D28" s="4">
        <v>396</v>
      </c>
      <c r="E28" s="8">
        <v>198</v>
      </c>
      <c r="F28" s="8">
        <v>20</v>
      </c>
      <c r="G28" s="9">
        <v>9.3550000000000003E-4</v>
      </c>
      <c r="H28">
        <v>112.438267</v>
      </c>
      <c r="I28" s="9">
        <f t="shared" si="0"/>
        <v>12.019055799037949</v>
      </c>
      <c r="K28" s="1" t="s">
        <v>30</v>
      </c>
      <c r="L28" s="4">
        <v>200</v>
      </c>
      <c r="M28" s="1">
        <f t="shared" si="1"/>
        <v>100</v>
      </c>
      <c r="N28" s="4">
        <v>240</v>
      </c>
      <c r="O28" s="1">
        <f t="shared" si="2"/>
        <v>120</v>
      </c>
      <c r="P28" s="1">
        <v>0</v>
      </c>
      <c r="Q28">
        <f t="shared" si="3"/>
        <v>3.7699111843077519E-4</v>
      </c>
      <c r="R28">
        <v>44.768576000000003</v>
      </c>
      <c r="S28">
        <f t="shared" si="4"/>
        <v>11.875233609308653</v>
      </c>
      <c r="U28" s="1" t="s">
        <v>29</v>
      </c>
      <c r="V28" s="4">
        <v>200</v>
      </c>
      <c r="W28" s="4">
        <f t="shared" si="5"/>
        <v>100</v>
      </c>
      <c r="X28" s="4">
        <v>240</v>
      </c>
      <c r="Y28" s="4">
        <f t="shared" si="6"/>
        <v>120</v>
      </c>
      <c r="Z28" s="3">
        <v>45</v>
      </c>
      <c r="AA28">
        <f t="shared" si="7"/>
        <v>2.0734511513692636E-4</v>
      </c>
      <c r="AB28" s="6">
        <v>91.085859999999997</v>
      </c>
      <c r="AC28">
        <f t="shared" si="8"/>
        <v>43.929590499322259</v>
      </c>
      <c r="AE28" s="1" t="s">
        <v>31</v>
      </c>
      <c r="AF28" s="4">
        <v>376</v>
      </c>
      <c r="AG28" s="4">
        <f t="shared" si="9"/>
        <v>188</v>
      </c>
      <c r="AH28" s="4">
        <v>396</v>
      </c>
      <c r="AI28" s="4">
        <f t="shared" si="10"/>
        <v>198</v>
      </c>
      <c r="AJ28" s="3">
        <v>85</v>
      </c>
      <c r="AK28">
        <f t="shared" si="11"/>
        <v>1.7541396740583973E-4</v>
      </c>
      <c r="AL28">
        <v>52.668472999999999</v>
      </c>
      <c r="AM28">
        <f t="shared" si="12"/>
        <v>30.025244727602352</v>
      </c>
    </row>
    <row r="29" spans="1:39" x14ac:dyDescent="0.2">
      <c r="A29" s="8" t="s">
        <v>28</v>
      </c>
      <c r="B29" s="4">
        <v>376</v>
      </c>
      <c r="C29" s="8">
        <v>188</v>
      </c>
      <c r="D29" s="4">
        <v>396</v>
      </c>
      <c r="E29" s="8">
        <v>198</v>
      </c>
      <c r="F29" s="8">
        <v>15</v>
      </c>
      <c r="G29" s="9">
        <v>9.9400000000000009E-4</v>
      </c>
      <c r="H29">
        <v>115.970761</v>
      </c>
      <c r="I29" s="9">
        <f t="shared" si="0"/>
        <v>11.667078571428572</v>
      </c>
      <c r="K29" s="1" t="s">
        <v>31</v>
      </c>
      <c r="L29" s="4">
        <v>200</v>
      </c>
      <c r="M29" s="1">
        <f t="shared" si="1"/>
        <v>100</v>
      </c>
      <c r="N29" s="4">
        <v>240</v>
      </c>
      <c r="O29" s="1">
        <f t="shared" si="2"/>
        <v>120</v>
      </c>
      <c r="P29" s="1">
        <v>1</v>
      </c>
      <c r="Q29">
        <f t="shared" si="3"/>
        <v>3.7322120724646741E-4</v>
      </c>
      <c r="R29">
        <v>43.799303999999999</v>
      </c>
      <c r="S29">
        <f t="shared" si="4"/>
        <v>11.735481036337751</v>
      </c>
      <c r="U29" s="1" t="s">
        <v>111</v>
      </c>
      <c r="V29" s="4">
        <v>200</v>
      </c>
      <c r="W29" s="4">
        <f t="shared" si="5"/>
        <v>100</v>
      </c>
      <c r="X29" s="4">
        <v>240</v>
      </c>
      <c r="Y29" s="4">
        <f t="shared" si="6"/>
        <v>120</v>
      </c>
      <c r="Z29" s="3">
        <v>70</v>
      </c>
      <c r="AA29">
        <f t="shared" si="7"/>
        <v>1.1309733552923256E-4</v>
      </c>
      <c r="AB29" s="6">
        <v>69.214669999999998</v>
      </c>
      <c r="AC29">
        <f t="shared" si="8"/>
        <v>61.199204805412855</v>
      </c>
      <c r="AE29" s="1" t="s">
        <v>112</v>
      </c>
      <c r="AF29" s="4">
        <v>376</v>
      </c>
      <c r="AG29" s="4">
        <f t="shared" si="9"/>
        <v>188</v>
      </c>
      <c r="AH29" s="4">
        <v>396</v>
      </c>
      <c r="AI29" s="4">
        <f t="shared" si="10"/>
        <v>198</v>
      </c>
      <c r="AJ29" s="1">
        <v>12</v>
      </c>
      <c r="AK29">
        <f t="shared" si="11"/>
        <v>1.029095275447593E-3</v>
      </c>
      <c r="AL29">
        <v>65.270392000000001</v>
      </c>
      <c r="AM29">
        <f t="shared" si="12"/>
        <v>6.3425023471817426</v>
      </c>
    </row>
    <row r="30" spans="1:39" x14ac:dyDescent="0.2">
      <c r="A30" s="8" t="s">
        <v>29</v>
      </c>
      <c r="B30" s="8">
        <v>340</v>
      </c>
      <c r="C30" s="8">
        <v>170</v>
      </c>
      <c r="D30" s="8">
        <v>360</v>
      </c>
      <c r="E30" s="8">
        <v>180</v>
      </c>
      <c r="F30" s="8">
        <v>2</v>
      </c>
      <c r="G30" s="9">
        <v>9.4209999999999997E-4</v>
      </c>
      <c r="H30">
        <v>96.190815000000001</v>
      </c>
      <c r="I30" s="9">
        <f t="shared" si="0"/>
        <v>10.21025528075576</v>
      </c>
      <c r="K30" s="1" t="s">
        <v>78</v>
      </c>
      <c r="L30" s="4">
        <v>200</v>
      </c>
      <c r="M30" s="1">
        <f t="shared" si="1"/>
        <v>100</v>
      </c>
      <c r="N30" s="4">
        <v>240</v>
      </c>
      <c r="O30" s="1">
        <f t="shared" si="2"/>
        <v>120</v>
      </c>
      <c r="P30" s="1">
        <v>1</v>
      </c>
      <c r="Q30">
        <f t="shared" si="3"/>
        <v>3.7322120724646741E-4</v>
      </c>
      <c r="R30">
        <v>44.583030999999998</v>
      </c>
      <c r="S30">
        <f t="shared" si="4"/>
        <v>11.945470979241087</v>
      </c>
      <c r="U30" s="7" t="s">
        <v>112</v>
      </c>
      <c r="V30" s="4">
        <v>200</v>
      </c>
      <c r="W30" s="4">
        <f t="shared" si="5"/>
        <v>100</v>
      </c>
      <c r="X30" s="4">
        <v>240</v>
      </c>
      <c r="Y30" s="4">
        <f t="shared" si="6"/>
        <v>120</v>
      </c>
      <c r="Z30" s="1">
        <v>20</v>
      </c>
      <c r="AA30">
        <f t="shared" si="7"/>
        <v>3.0159289474462013E-4</v>
      </c>
      <c r="AB30" s="6"/>
      <c r="AE30" s="1" t="s">
        <v>34</v>
      </c>
      <c r="AF30" s="4">
        <v>340</v>
      </c>
      <c r="AG30" s="4">
        <f t="shared" si="9"/>
        <v>170</v>
      </c>
      <c r="AH30" s="4">
        <v>360</v>
      </c>
      <c r="AI30" s="4">
        <f t="shared" si="10"/>
        <v>180</v>
      </c>
      <c r="AJ30" s="1">
        <v>18</v>
      </c>
      <c r="AK30">
        <f t="shared" si="11"/>
        <v>7.8828842863875096E-4</v>
      </c>
      <c r="AL30">
        <v>55.758899999999997</v>
      </c>
      <c r="AM30">
        <f t="shared" si="12"/>
        <v>7.0734134834741607</v>
      </c>
    </row>
    <row r="31" spans="1:39" x14ac:dyDescent="0.2">
      <c r="A31" s="8" t="s">
        <v>30</v>
      </c>
      <c r="B31" s="4">
        <v>380</v>
      </c>
      <c r="C31" s="8">
        <v>190</v>
      </c>
      <c r="D31" s="4">
        <v>394</v>
      </c>
      <c r="E31" s="8">
        <v>197</v>
      </c>
      <c r="F31" s="8">
        <v>3</v>
      </c>
      <c r="G31" s="9">
        <v>1.1406000000000001E-3</v>
      </c>
      <c r="H31">
        <v>135.53068400000001</v>
      </c>
      <c r="I31" s="9">
        <f t="shared" si="0"/>
        <v>11.882402595125374</v>
      </c>
      <c r="K31" s="1" t="s">
        <v>33</v>
      </c>
      <c r="L31" s="1">
        <v>200</v>
      </c>
      <c r="M31" s="1">
        <f t="shared" si="1"/>
        <v>100</v>
      </c>
      <c r="N31" s="1">
        <v>240</v>
      </c>
      <c r="O31" s="1">
        <f t="shared" si="2"/>
        <v>120</v>
      </c>
      <c r="P31" s="3">
        <v>20</v>
      </c>
      <c r="Q31">
        <f t="shared" si="3"/>
        <v>3.0159289474462013E-4</v>
      </c>
      <c r="R31">
        <v>40.516694000000001</v>
      </c>
      <c r="S31">
        <f t="shared" si="4"/>
        <v>13.434233599670288</v>
      </c>
      <c r="U31" s="1" t="s">
        <v>33</v>
      </c>
      <c r="V31" s="4">
        <v>200</v>
      </c>
      <c r="W31" s="4">
        <f t="shared" si="5"/>
        <v>100</v>
      </c>
      <c r="X31" s="4">
        <v>240</v>
      </c>
      <c r="Y31" s="4">
        <f t="shared" si="6"/>
        <v>120</v>
      </c>
      <c r="Z31" s="1">
        <v>20</v>
      </c>
      <c r="AA31">
        <f t="shared" si="7"/>
        <v>3.0159289474462013E-4</v>
      </c>
      <c r="AB31" s="6">
        <v>45.533160000000002</v>
      </c>
      <c r="AC31">
        <f t="shared" si="8"/>
        <v>15.097557267904515</v>
      </c>
      <c r="AE31" s="1" t="s">
        <v>133</v>
      </c>
      <c r="AF31" s="4">
        <v>380</v>
      </c>
      <c r="AG31" s="4">
        <f t="shared" si="9"/>
        <v>190</v>
      </c>
      <c r="AH31" s="4">
        <v>394</v>
      </c>
      <c r="AI31" s="4">
        <f t="shared" si="10"/>
        <v>197</v>
      </c>
      <c r="AJ31" s="3">
        <v>80</v>
      </c>
      <c r="AK31">
        <f t="shared" si="11"/>
        <v>2.3517962604773188E-4</v>
      </c>
      <c r="AL31">
        <v>77.539248000000001</v>
      </c>
      <c r="AM31">
        <f t="shared" si="12"/>
        <v>32.970223357810212</v>
      </c>
    </row>
    <row r="32" spans="1:39" x14ac:dyDescent="0.2">
      <c r="A32" s="8" t="s">
        <v>31</v>
      </c>
      <c r="B32" s="8">
        <v>390</v>
      </c>
      <c r="C32" s="8">
        <v>195</v>
      </c>
      <c r="D32" s="8">
        <v>400</v>
      </c>
      <c r="E32" s="8">
        <v>200</v>
      </c>
      <c r="F32" s="8">
        <v>15</v>
      </c>
      <c r="G32" s="9">
        <v>1.0414000000000001E-3</v>
      </c>
      <c r="H32">
        <v>122.716815</v>
      </c>
      <c r="I32" s="9">
        <f t="shared" si="0"/>
        <v>11.783830900710582</v>
      </c>
      <c r="K32" s="1" t="s">
        <v>34</v>
      </c>
      <c r="L32" s="1">
        <v>150</v>
      </c>
      <c r="M32" s="1">
        <f t="shared" si="1"/>
        <v>75</v>
      </c>
      <c r="N32" s="1">
        <v>260</v>
      </c>
      <c r="O32" s="1">
        <f t="shared" si="2"/>
        <v>130</v>
      </c>
      <c r="P32" s="3">
        <v>50</v>
      </c>
      <c r="Q32">
        <f t="shared" si="3"/>
        <v>1.531526418625024E-4</v>
      </c>
      <c r="R32">
        <v>31.741354000000001</v>
      </c>
      <c r="S32">
        <f t="shared" si="4"/>
        <v>20.725306213455202</v>
      </c>
      <c r="U32" s="1" t="s">
        <v>113</v>
      </c>
      <c r="V32" s="4">
        <v>150</v>
      </c>
      <c r="W32" s="4">
        <f t="shared" si="5"/>
        <v>75</v>
      </c>
      <c r="X32" s="4">
        <v>260</v>
      </c>
      <c r="Y32" s="4">
        <f t="shared" si="6"/>
        <v>130</v>
      </c>
      <c r="Z32" s="3">
        <v>35</v>
      </c>
      <c r="AA32">
        <f t="shared" si="7"/>
        <v>1.9909843442125316E-4</v>
      </c>
      <c r="AB32" s="6">
        <v>44.011119999999998</v>
      </c>
      <c r="AC32">
        <f t="shared" si="8"/>
        <v>22.105206466305567</v>
      </c>
      <c r="AE32" s="1" t="s">
        <v>114</v>
      </c>
      <c r="AF32" s="4">
        <v>390</v>
      </c>
      <c r="AG32" s="4">
        <f t="shared" si="9"/>
        <v>195</v>
      </c>
      <c r="AH32" s="4">
        <v>400</v>
      </c>
      <c r="AI32" s="4">
        <f t="shared" si="10"/>
        <v>200</v>
      </c>
      <c r="AJ32" s="3">
        <v>50</v>
      </c>
      <c r="AK32">
        <f t="shared" si="11"/>
        <v>6.1261056745000959E-4</v>
      </c>
      <c r="AL32">
        <v>70.135141000000004</v>
      </c>
      <c r="AM32">
        <f t="shared" si="12"/>
        <v>11.448568589330316</v>
      </c>
    </row>
    <row r="33" spans="1:39" x14ac:dyDescent="0.2">
      <c r="A33" s="8" t="s">
        <v>32</v>
      </c>
      <c r="B33" s="4">
        <v>380</v>
      </c>
      <c r="C33" s="8">
        <v>190</v>
      </c>
      <c r="D33" s="4">
        <v>394</v>
      </c>
      <c r="E33" s="8">
        <v>197</v>
      </c>
      <c r="F33" s="8">
        <v>4</v>
      </c>
      <c r="G33" s="9">
        <v>1.1289E-3</v>
      </c>
      <c r="H33">
        <v>125.51455</v>
      </c>
      <c r="I33" s="9">
        <f t="shared" si="0"/>
        <v>11.118305430064666</v>
      </c>
      <c r="K33" s="1" t="s">
        <v>79</v>
      </c>
      <c r="L33" s="1">
        <v>250</v>
      </c>
      <c r="M33" s="1">
        <f t="shared" si="1"/>
        <v>125</v>
      </c>
      <c r="N33" s="1">
        <v>240</v>
      </c>
      <c r="O33" s="1">
        <f t="shared" si="2"/>
        <v>120</v>
      </c>
      <c r="P33" s="1">
        <v>8</v>
      </c>
      <c r="Q33">
        <f t="shared" si="3"/>
        <v>4.3353978619539143E-4</v>
      </c>
      <c r="R33">
        <v>45.440080000000002</v>
      </c>
      <c r="S33">
        <f t="shared" si="4"/>
        <v>10.481178763030686</v>
      </c>
      <c r="U33" s="1" t="s">
        <v>114</v>
      </c>
      <c r="V33" s="4">
        <v>250</v>
      </c>
      <c r="W33" s="4">
        <f t="shared" si="5"/>
        <v>125</v>
      </c>
      <c r="X33" s="4">
        <v>240</v>
      </c>
      <c r="Y33" s="4">
        <f t="shared" si="6"/>
        <v>120</v>
      </c>
      <c r="Z33" s="3">
        <v>40</v>
      </c>
      <c r="AA33">
        <f t="shared" si="7"/>
        <v>2.8274333882308131E-4</v>
      </c>
      <c r="AB33" s="6">
        <v>109.1682</v>
      </c>
      <c r="AC33">
        <f t="shared" si="8"/>
        <v>38.610352574321453</v>
      </c>
      <c r="AE33" s="1" t="s">
        <v>134</v>
      </c>
      <c r="AF33" s="4">
        <v>380</v>
      </c>
      <c r="AG33" s="4">
        <f t="shared" si="9"/>
        <v>190</v>
      </c>
      <c r="AH33" s="4">
        <v>394</v>
      </c>
      <c r="AI33" s="4">
        <f t="shared" si="10"/>
        <v>197</v>
      </c>
      <c r="AJ33" s="1">
        <v>4</v>
      </c>
      <c r="AK33">
        <f t="shared" si="11"/>
        <v>1.1288622050291133E-3</v>
      </c>
      <c r="AL33">
        <v>59.539678000000002</v>
      </c>
      <c r="AM33">
        <f t="shared" si="12"/>
        <v>5.274308745101842</v>
      </c>
    </row>
    <row r="34" spans="1:39" x14ac:dyDescent="0.2">
      <c r="A34" s="8" t="s">
        <v>33</v>
      </c>
      <c r="B34" s="4">
        <v>380</v>
      </c>
      <c r="C34" s="8">
        <v>190</v>
      </c>
      <c r="D34" s="4">
        <v>394</v>
      </c>
      <c r="E34" s="8">
        <v>197</v>
      </c>
      <c r="F34" s="8">
        <v>2</v>
      </c>
      <c r="G34" s="9">
        <v>1.1524E-3</v>
      </c>
      <c r="H34">
        <v>122.93482</v>
      </c>
      <c r="I34" s="9">
        <f t="shared" si="0"/>
        <v>10.667721277334261</v>
      </c>
      <c r="K34" s="1" t="s">
        <v>80</v>
      </c>
      <c r="L34" s="1">
        <v>250</v>
      </c>
      <c r="M34" s="1">
        <f t="shared" si="1"/>
        <v>125</v>
      </c>
      <c r="N34" s="1">
        <v>260</v>
      </c>
      <c r="O34" s="1">
        <f t="shared" si="2"/>
        <v>130</v>
      </c>
      <c r="P34" s="1">
        <v>0</v>
      </c>
      <c r="Q34">
        <f t="shared" si="3"/>
        <v>5.1050880620834131E-4</v>
      </c>
      <c r="R34">
        <v>48.377020000000002</v>
      </c>
      <c r="S34">
        <f t="shared" si="4"/>
        <v>9.4762361416067495</v>
      </c>
      <c r="U34" s="1" t="s">
        <v>115</v>
      </c>
      <c r="V34" s="4">
        <v>250</v>
      </c>
      <c r="W34" s="4">
        <f t="shared" si="5"/>
        <v>125</v>
      </c>
      <c r="X34" s="4">
        <v>260</v>
      </c>
      <c r="Y34" s="4">
        <f t="shared" si="6"/>
        <v>130</v>
      </c>
      <c r="Z34" s="3">
        <v>70</v>
      </c>
      <c r="AA34">
        <f t="shared" si="7"/>
        <v>1.5315264186250243E-4</v>
      </c>
      <c r="AB34" s="6">
        <v>30.51444</v>
      </c>
      <c r="AC34">
        <f t="shared" si="8"/>
        <v>19.924200868435097</v>
      </c>
      <c r="AE34" s="1" t="s">
        <v>81</v>
      </c>
      <c r="AF34" s="4">
        <v>380</v>
      </c>
      <c r="AG34" s="4">
        <f t="shared" si="9"/>
        <v>190</v>
      </c>
      <c r="AH34" s="4">
        <v>394</v>
      </c>
      <c r="AI34" s="4">
        <f t="shared" si="10"/>
        <v>197</v>
      </c>
      <c r="AJ34" s="3">
        <v>40</v>
      </c>
      <c r="AK34">
        <f t="shared" si="11"/>
        <v>7.0553887814319577E-4</v>
      </c>
      <c r="AL34">
        <v>50.968839000000003</v>
      </c>
      <c r="AM34">
        <f t="shared" si="12"/>
        <v>7.2241006950796836</v>
      </c>
    </row>
    <row r="35" spans="1:39" x14ac:dyDescent="0.2">
      <c r="A35" s="8" t="s">
        <v>34</v>
      </c>
      <c r="B35" s="8">
        <v>410</v>
      </c>
      <c r="C35" s="8">
        <v>205</v>
      </c>
      <c r="D35" s="8">
        <v>420</v>
      </c>
      <c r="E35" s="8">
        <v>210</v>
      </c>
      <c r="F35" s="8">
        <v>2</v>
      </c>
      <c r="G35" s="9">
        <v>1.3254E-3</v>
      </c>
      <c r="H35">
        <v>134.759591</v>
      </c>
      <c r="I35" s="9">
        <f t="shared" si="0"/>
        <v>10.16746574618983</v>
      </c>
      <c r="K35" s="1" t="s">
        <v>81</v>
      </c>
      <c r="L35" s="4">
        <v>250</v>
      </c>
      <c r="M35" s="1">
        <f t="shared" si="1"/>
        <v>125</v>
      </c>
      <c r="N35" s="4">
        <v>240</v>
      </c>
      <c r="O35" s="1">
        <f t="shared" si="2"/>
        <v>120</v>
      </c>
      <c r="P35" s="1">
        <v>2</v>
      </c>
      <c r="Q35">
        <f t="shared" si="3"/>
        <v>4.6181412007769953E-4</v>
      </c>
      <c r="R35">
        <v>46.295091999999997</v>
      </c>
      <c r="S35">
        <f t="shared" si="4"/>
        <v>10.02461596284906</v>
      </c>
      <c r="U35" s="1" t="s">
        <v>116</v>
      </c>
      <c r="V35" s="4">
        <v>250</v>
      </c>
      <c r="W35" s="4">
        <f t="shared" si="5"/>
        <v>125</v>
      </c>
      <c r="X35" s="4">
        <v>240</v>
      </c>
      <c r="Y35" s="4">
        <f t="shared" si="6"/>
        <v>120</v>
      </c>
      <c r="Z35" s="1">
        <v>10</v>
      </c>
      <c r="AA35">
        <f t="shared" si="7"/>
        <v>4.24115008234622E-4</v>
      </c>
      <c r="AB35" s="6">
        <v>37.190989999999999</v>
      </c>
      <c r="AC35">
        <f t="shared" si="8"/>
        <v>8.7690813288611107</v>
      </c>
      <c r="AE35" s="1" t="s">
        <v>38</v>
      </c>
      <c r="AF35" s="4">
        <v>410</v>
      </c>
      <c r="AG35" s="4">
        <f t="shared" si="9"/>
        <v>205</v>
      </c>
      <c r="AH35" s="4">
        <v>420</v>
      </c>
      <c r="AI35" s="4">
        <f t="shared" si="10"/>
        <v>210</v>
      </c>
      <c r="AJ35" s="1">
        <v>3</v>
      </c>
      <c r="AK35">
        <f t="shared" si="11"/>
        <v>1.3118819682492937E-3</v>
      </c>
      <c r="AL35">
        <v>70.884028999999998</v>
      </c>
      <c r="AM35">
        <f t="shared" si="12"/>
        <v>5.4032322049974306</v>
      </c>
    </row>
    <row r="36" spans="1:39" x14ac:dyDescent="0.2">
      <c r="A36" s="8" t="s">
        <v>35</v>
      </c>
      <c r="B36" s="4">
        <v>380</v>
      </c>
      <c r="C36" s="8">
        <v>190</v>
      </c>
      <c r="D36" s="4">
        <v>394</v>
      </c>
      <c r="E36" s="8">
        <v>197</v>
      </c>
      <c r="F36" s="8">
        <v>10</v>
      </c>
      <c r="G36" s="9">
        <v>1.0583000000000001E-3</v>
      </c>
      <c r="H36">
        <v>122.72690799999999</v>
      </c>
      <c r="I36" s="9">
        <f t="shared" si="0"/>
        <v>11.596608523103088</v>
      </c>
      <c r="K36" s="1" t="s">
        <v>37</v>
      </c>
      <c r="L36" s="4">
        <v>250</v>
      </c>
      <c r="M36" s="1">
        <f t="shared" si="1"/>
        <v>125</v>
      </c>
      <c r="N36" s="4">
        <v>240</v>
      </c>
      <c r="O36" s="1">
        <f t="shared" si="2"/>
        <v>120</v>
      </c>
      <c r="P36" s="1">
        <v>2</v>
      </c>
      <c r="Q36">
        <f t="shared" si="3"/>
        <v>4.6181412007769953E-4</v>
      </c>
      <c r="R36">
        <v>138.70992799999999</v>
      </c>
      <c r="S36">
        <f t="shared" si="4"/>
        <v>30.03587849948422</v>
      </c>
      <c r="U36" s="1" t="s">
        <v>81</v>
      </c>
      <c r="V36" s="4">
        <v>250</v>
      </c>
      <c r="W36" s="4">
        <f t="shared" si="5"/>
        <v>125</v>
      </c>
      <c r="X36" s="4">
        <v>240</v>
      </c>
      <c r="Y36" s="4">
        <f t="shared" si="6"/>
        <v>120</v>
      </c>
      <c r="Z36" s="3">
        <v>35</v>
      </c>
      <c r="AA36">
        <f t="shared" si="7"/>
        <v>3.063052837250048E-4</v>
      </c>
      <c r="AB36" s="6">
        <v>95.827470000000005</v>
      </c>
      <c r="AC36">
        <f t="shared" si="8"/>
        <v>31.284954942544228</v>
      </c>
      <c r="AE36" s="1" t="s">
        <v>83</v>
      </c>
      <c r="AF36" s="4">
        <v>380</v>
      </c>
      <c r="AG36" s="4">
        <f t="shared" si="9"/>
        <v>190</v>
      </c>
      <c r="AH36" s="4">
        <v>394</v>
      </c>
      <c r="AI36" s="4">
        <f t="shared" si="10"/>
        <v>197</v>
      </c>
      <c r="AJ36" s="3">
        <v>80</v>
      </c>
      <c r="AK36">
        <f t="shared" si="11"/>
        <v>2.3517962604773188E-4</v>
      </c>
      <c r="AL36">
        <v>60.613556000000003</v>
      </c>
      <c r="AM36">
        <f t="shared" si="12"/>
        <v>25.773302313057478</v>
      </c>
    </row>
    <row r="37" spans="1:39" x14ac:dyDescent="0.2">
      <c r="A37" s="8" t="s">
        <v>36</v>
      </c>
      <c r="B37" s="4">
        <v>380</v>
      </c>
      <c r="C37" s="8">
        <v>190</v>
      </c>
      <c r="D37" s="4">
        <v>394</v>
      </c>
      <c r="E37" s="8">
        <v>197</v>
      </c>
      <c r="F37" s="8">
        <v>8</v>
      </c>
      <c r="G37" s="9">
        <v>1.0817999999999999E-3</v>
      </c>
      <c r="H37">
        <v>124.688956</v>
      </c>
      <c r="I37" s="9">
        <f t="shared" si="0"/>
        <v>11.526063597707527</v>
      </c>
      <c r="K37" s="1" t="s">
        <v>38</v>
      </c>
      <c r="L37" s="4">
        <v>250</v>
      </c>
      <c r="M37" s="1">
        <f t="shared" si="1"/>
        <v>125</v>
      </c>
      <c r="N37" s="4">
        <v>240</v>
      </c>
      <c r="O37" s="1">
        <f t="shared" si="2"/>
        <v>120</v>
      </c>
      <c r="P37" s="1">
        <v>2</v>
      </c>
      <c r="Q37">
        <f t="shared" si="3"/>
        <v>4.6181412007769953E-4</v>
      </c>
      <c r="R37">
        <v>43.126984999999998</v>
      </c>
      <c r="S37">
        <f t="shared" si="4"/>
        <v>9.338602508027245</v>
      </c>
      <c r="U37" s="1" t="s">
        <v>37</v>
      </c>
      <c r="V37" s="4">
        <v>250</v>
      </c>
      <c r="W37" s="4">
        <f t="shared" si="5"/>
        <v>125</v>
      </c>
      <c r="X37" s="4">
        <v>240</v>
      </c>
      <c r="Y37" s="4">
        <f t="shared" si="6"/>
        <v>120</v>
      </c>
      <c r="Z37" s="3">
        <v>85</v>
      </c>
      <c r="AA37">
        <f t="shared" si="7"/>
        <v>7.0685834705770355E-5</v>
      </c>
      <c r="AB37" s="6">
        <v>24.846060000000001</v>
      </c>
      <c r="AC37">
        <f t="shared" si="8"/>
        <v>35.149984580958375</v>
      </c>
      <c r="AE37" s="1" t="s">
        <v>85</v>
      </c>
      <c r="AF37" s="4">
        <v>380</v>
      </c>
      <c r="AG37" s="4">
        <f t="shared" si="9"/>
        <v>190</v>
      </c>
      <c r="AH37" s="4">
        <v>394</v>
      </c>
      <c r="AI37" s="4">
        <f t="shared" si="10"/>
        <v>197</v>
      </c>
      <c r="AJ37" s="1">
        <v>2</v>
      </c>
      <c r="AK37">
        <f t="shared" si="11"/>
        <v>1.1523801676338865E-3</v>
      </c>
      <c r="AL37">
        <v>58.366889999999998</v>
      </c>
      <c r="AM37">
        <f t="shared" si="12"/>
        <v>5.0648988623121873</v>
      </c>
    </row>
    <row r="38" spans="1:39" x14ac:dyDescent="0.2">
      <c r="A38" s="8" t="s">
        <v>37</v>
      </c>
      <c r="B38" s="8">
        <v>380</v>
      </c>
      <c r="C38" s="8">
        <v>190</v>
      </c>
      <c r="D38" s="8">
        <v>410</v>
      </c>
      <c r="E38" s="8">
        <v>205</v>
      </c>
      <c r="F38" s="8">
        <v>2</v>
      </c>
      <c r="G38" s="9">
        <v>1.1992000000000001E-3</v>
      </c>
      <c r="H38">
        <v>151.79630399999999</v>
      </c>
      <c r="I38" s="9">
        <f t="shared" si="0"/>
        <v>12.65813075383589</v>
      </c>
      <c r="K38" s="1" t="s">
        <v>82</v>
      </c>
      <c r="L38" s="4">
        <v>250</v>
      </c>
      <c r="M38" s="1">
        <f t="shared" si="1"/>
        <v>125</v>
      </c>
      <c r="N38" s="4">
        <v>240</v>
      </c>
      <c r="O38" s="1">
        <f t="shared" si="2"/>
        <v>120</v>
      </c>
      <c r="P38" s="1">
        <v>2</v>
      </c>
      <c r="Q38">
        <f t="shared" si="3"/>
        <v>4.6181412007769953E-4</v>
      </c>
      <c r="R38">
        <v>44.513376000000001</v>
      </c>
      <c r="S38">
        <f t="shared" si="4"/>
        <v>9.6388079239566551</v>
      </c>
      <c r="U38" s="1" t="s">
        <v>38</v>
      </c>
      <c r="V38" s="4">
        <v>250</v>
      </c>
      <c r="W38" s="4">
        <f t="shared" si="5"/>
        <v>125</v>
      </c>
      <c r="X38" s="4">
        <v>240</v>
      </c>
      <c r="Y38" s="4">
        <f t="shared" si="6"/>
        <v>120</v>
      </c>
      <c r="Z38" s="3">
        <v>15</v>
      </c>
      <c r="AA38">
        <f t="shared" si="7"/>
        <v>4.0055306333269857E-4</v>
      </c>
      <c r="AB38" s="6">
        <v>77.977279999999993</v>
      </c>
      <c r="AC38">
        <f t="shared" si="8"/>
        <v>19.467403232722805</v>
      </c>
      <c r="AE38" s="1" t="s">
        <v>41</v>
      </c>
      <c r="AF38" s="4">
        <v>380</v>
      </c>
      <c r="AG38" s="4">
        <f t="shared" si="9"/>
        <v>190</v>
      </c>
      <c r="AH38" s="4">
        <v>410</v>
      </c>
      <c r="AI38" s="4">
        <f t="shared" si="10"/>
        <v>205</v>
      </c>
      <c r="AJ38" s="1">
        <v>10</v>
      </c>
      <c r="AK38">
        <f t="shared" si="11"/>
        <v>1.1012853047159021E-3</v>
      </c>
      <c r="AL38">
        <v>56.057648</v>
      </c>
      <c r="AM38">
        <f t="shared" si="12"/>
        <v>5.0902021265471404</v>
      </c>
    </row>
    <row r="39" spans="1:39" x14ac:dyDescent="0.2">
      <c r="A39" s="8" t="s">
        <v>38</v>
      </c>
      <c r="B39" s="4">
        <v>395</v>
      </c>
      <c r="C39" s="8">
        <v>197.5</v>
      </c>
      <c r="D39" s="4">
        <v>410</v>
      </c>
      <c r="E39" s="8">
        <v>205</v>
      </c>
      <c r="F39" s="8">
        <v>6</v>
      </c>
      <c r="G39" s="9">
        <v>1.1956E-3</v>
      </c>
      <c r="H39">
        <v>211.136143</v>
      </c>
      <c r="I39" s="9">
        <f t="shared" si="0"/>
        <v>17.659429826028774</v>
      </c>
      <c r="K39" s="1" t="s">
        <v>83</v>
      </c>
      <c r="L39" s="1">
        <v>250</v>
      </c>
      <c r="M39" s="1">
        <f t="shared" si="1"/>
        <v>125</v>
      </c>
      <c r="N39" s="1">
        <v>240</v>
      </c>
      <c r="O39" s="1">
        <f t="shared" si="2"/>
        <v>120</v>
      </c>
      <c r="P39" s="1">
        <v>3</v>
      </c>
      <c r="Q39">
        <f t="shared" si="3"/>
        <v>4.5710173109731486E-4</v>
      </c>
      <c r="R39">
        <v>43.554084000000003</v>
      </c>
      <c r="S39">
        <f t="shared" si="4"/>
        <v>9.5283130727692527</v>
      </c>
      <c r="U39" s="1" t="s">
        <v>39</v>
      </c>
      <c r="V39" s="4">
        <v>250</v>
      </c>
      <c r="W39" s="4">
        <f t="shared" si="5"/>
        <v>125</v>
      </c>
      <c r="X39" s="4">
        <v>240</v>
      </c>
      <c r="Y39" s="4">
        <f t="shared" si="6"/>
        <v>120</v>
      </c>
      <c r="Z39" s="3">
        <v>50</v>
      </c>
      <c r="AA39">
        <f t="shared" si="7"/>
        <v>2.3561944901923445E-4</v>
      </c>
      <c r="AB39" s="6">
        <v>34.774830000000001</v>
      </c>
      <c r="AC39">
        <f t="shared" si="8"/>
        <v>14.758896239147564</v>
      </c>
      <c r="AE39" s="1" t="s">
        <v>135</v>
      </c>
      <c r="AF39" s="4">
        <v>395</v>
      </c>
      <c r="AG39" s="4">
        <f t="shared" si="9"/>
        <v>197.5</v>
      </c>
      <c r="AH39" s="4">
        <v>410</v>
      </c>
      <c r="AI39" s="4">
        <f t="shared" si="10"/>
        <v>205</v>
      </c>
      <c r="AJ39" s="1">
        <v>10</v>
      </c>
      <c r="AK39">
        <f t="shared" si="11"/>
        <v>1.144757093059951E-3</v>
      </c>
      <c r="AL39">
        <v>69.533607000000003</v>
      </c>
      <c r="AM39">
        <f t="shared" si="12"/>
        <v>6.0740926980531524</v>
      </c>
    </row>
    <row r="40" spans="1:39" x14ac:dyDescent="0.2">
      <c r="A40" s="8" t="s">
        <v>39</v>
      </c>
      <c r="B40" s="8">
        <v>370</v>
      </c>
      <c r="C40" s="8">
        <v>185</v>
      </c>
      <c r="D40" s="8">
        <v>400</v>
      </c>
      <c r="E40" s="8">
        <v>200</v>
      </c>
      <c r="F40" s="8">
        <v>10</v>
      </c>
      <c r="G40" s="9">
        <v>1.0462E-3</v>
      </c>
      <c r="H40">
        <v>122.581571</v>
      </c>
      <c r="I40" s="9">
        <f t="shared" si="0"/>
        <v>11.716839132097114</v>
      </c>
      <c r="K40" s="1" t="s">
        <v>84</v>
      </c>
      <c r="L40" s="1">
        <v>190</v>
      </c>
      <c r="M40" s="1">
        <f t="shared" si="1"/>
        <v>95</v>
      </c>
      <c r="N40" s="1">
        <v>240</v>
      </c>
      <c r="O40" s="1">
        <f t="shared" si="2"/>
        <v>120</v>
      </c>
      <c r="P40" s="3">
        <v>25</v>
      </c>
      <c r="Q40">
        <f t="shared" si="3"/>
        <v>2.6860617188192732E-4</v>
      </c>
      <c r="R40">
        <v>43.716206</v>
      </c>
      <c r="S40">
        <f t="shared" si="4"/>
        <v>16.275205328944033</v>
      </c>
      <c r="U40" s="1" t="s">
        <v>83</v>
      </c>
      <c r="V40" s="4">
        <v>190</v>
      </c>
      <c r="W40" s="4">
        <f t="shared" si="5"/>
        <v>95</v>
      </c>
      <c r="X40" s="4">
        <v>240</v>
      </c>
      <c r="Y40" s="4">
        <f t="shared" si="6"/>
        <v>120</v>
      </c>
      <c r="Z40" s="3">
        <v>55</v>
      </c>
      <c r="AA40">
        <f t="shared" si="7"/>
        <v>1.6116370312915635E-4</v>
      </c>
      <c r="AB40" s="6">
        <v>29.37612</v>
      </c>
      <c r="AC40">
        <f t="shared" si="8"/>
        <v>18.22750373045103</v>
      </c>
      <c r="AE40" s="1" t="s">
        <v>136</v>
      </c>
      <c r="AF40" s="4">
        <v>370</v>
      </c>
      <c r="AG40" s="4">
        <f t="shared" si="9"/>
        <v>185</v>
      </c>
      <c r="AH40" s="4">
        <v>400</v>
      </c>
      <c r="AI40" s="4">
        <f t="shared" si="10"/>
        <v>200</v>
      </c>
      <c r="AJ40" s="3">
        <v>50</v>
      </c>
      <c r="AK40">
        <f t="shared" si="11"/>
        <v>5.8119464091411165E-4</v>
      </c>
      <c r="AL40">
        <v>32.341777</v>
      </c>
      <c r="AM40">
        <f t="shared" si="12"/>
        <v>5.5647066788386708</v>
      </c>
    </row>
    <row r="41" spans="1:39" x14ac:dyDescent="0.2">
      <c r="A41" s="11" t="s">
        <v>40</v>
      </c>
      <c r="B41" s="8">
        <v>400</v>
      </c>
      <c r="C41" s="8">
        <v>200</v>
      </c>
      <c r="D41" s="8">
        <v>410</v>
      </c>
      <c r="E41" s="8">
        <v>205</v>
      </c>
      <c r="F41" s="8">
        <v>4</v>
      </c>
      <c r="G41" s="9">
        <v>1.2365E-3</v>
      </c>
      <c r="H41" s="9"/>
      <c r="I41" s="9"/>
      <c r="K41" s="1" t="s">
        <v>85</v>
      </c>
      <c r="L41" s="1">
        <v>260</v>
      </c>
      <c r="M41" s="1">
        <f t="shared" si="1"/>
        <v>130</v>
      </c>
      <c r="N41" s="1">
        <v>250</v>
      </c>
      <c r="O41" s="1">
        <f t="shared" si="2"/>
        <v>125</v>
      </c>
      <c r="P41" s="1">
        <v>5</v>
      </c>
      <c r="Q41">
        <f t="shared" si="3"/>
        <v>4.8498336589792424E-4</v>
      </c>
      <c r="R41">
        <v>94.515403000000006</v>
      </c>
      <c r="S41">
        <f t="shared" si="4"/>
        <v>19.488380354037325</v>
      </c>
      <c r="U41" s="1" t="s">
        <v>84</v>
      </c>
      <c r="V41" s="4">
        <v>260</v>
      </c>
      <c r="W41" s="4">
        <f t="shared" si="5"/>
        <v>130</v>
      </c>
      <c r="X41" s="4">
        <v>250</v>
      </c>
      <c r="Y41" s="4">
        <f t="shared" si="6"/>
        <v>125</v>
      </c>
      <c r="Z41" s="3">
        <v>60</v>
      </c>
      <c r="AA41">
        <f t="shared" si="7"/>
        <v>2.0420352248333657E-4</v>
      </c>
      <c r="AB41" s="6">
        <v>35.060510000000001</v>
      </c>
      <c r="AC41">
        <f t="shared" si="8"/>
        <v>17.169395304070239</v>
      </c>
      <c r="AE41" s="1" t="s">
        <v>137</v>
      </c>
      <c r="AF41" s="4">
        <v>400</v>
      </c>
      <c r="AG41" s="4">
        <f t="shared" si="9"/>
        <v>200</v>
      </c>
      <c r="AH41" s="4">
        <v>410</v>
      </c>
      <c r="AI41" s="4">
        <f t="shared" si="10"/>
        <v>205</v>
      </c>
      <c r="AJ41" s="1">
        <v>14</v>
      </c>
      <c r="AK41">
        <f t="shared" si="11"/>
        <v>1.1077255696557611E-3</v>
      </c>
      <c r="AL41">
        <v>55.256276999999997</v>
      </c>
      <c r="AM41">
        <f t="shared" si="12"/>
        <v>4.9882641074333547</v>
      </c>
    </row>
    <row r="42" spans="1:39" x14ac:dyDescent="0.2">
      <c r="A42" s="8" t="s">
        <v>41</v>
      </c>
      <c r="B42" s="8">
        <v>430</v>
      </c>
      <c r="C42" s="8">
        <v>215</v>
      </c>
      <c r="D42" s="8">
        <v>420</v>
      </c>
      <c r="E42" s="8">
        <v>210</v>
      </c>
      <c r="F42" s="8">
        <v>15</v>
      </c>
      <c r="G42" s="9">
        <v>1.2057000000000001E-3</v>
      </c>
      <c r="H42">
        <v>146.67923400000001</v>
      </c>
      <c r="I42" s="9">
        <f t="shared" si="0"/>
        <v>12.165483453595423</v>
      </c>
      <c r="K42" s="1" t="s">
        <v>41</v>
      </c>
      <c r="L42" s="1">
        <v>160</v>
      </c>
      <c r="M42" s="1">
        <f t="shared" si="1"/>
        <v>80</v>
      </c>
      <c r="N42" s="1">
        <v>270</v>
      </c>
      <c r="O42" s="1">
        <f t="shared" si="2"/>
        <v>135</v>
      </c>
      <c r="P42" s="3">
        <v>45</v>
      </c>
      <c r="Q42">
        <f t="shared" si="3"/>
        <v>1.8661060362323373E-4</v>
      </c>
      <c r="R42">
        <v>13.382425</v>
      </c>
      <c r="S42">
        <f t="shared" si="4"/>
        <v>7.1713100650052439</v>
      </c>
      <c r="U42" s="1" t="s">
        <v>85</v>
      </c>
      <c r="V42" s="4">
        <v>160</v>
      </c>
      <c r="W42" s="4">
        <f t="shared" si="5"/>
        <v>80</v>
      </c>
      <c r="X42" s="4">
        <v>270</v>
      </c>
      <c r="Y42" s="4">
        <f t="shared" si="6"/>
        <v>135</v>
      </c>
      <c r="Z42" s="3">
        <v>45</v>
      </c>
      <c r="AA42">
        <f t="shared" si="7"/>
        <v>1.8661060362323373E-4</v>
      </c>
      <c r="AB42" s="6">
        <v>39.572009999999999</v>
      </c>
      <c r="AC42">
        <f t="shared" si="8"/>
        <v>21.205659931252235</v>
      </c>
      <c r="AE42" s="1" t="s">
        <v>45</v>
      </c>
      <c r="AF42" s="4">
        <v>430</v>
      </c>
      <c r="AG42" s="4">
        <f t="shared" si="9"/>
        <v>215</v>
      </c>
      <c r="AH42" s="4">
        <v>420</v>
      </c>
      <c r="AI42" s="4">
        <f t="shared" si="10"/>
        <v>210</v>
      </c>
      <c r="AJ42" s="1">
        <v>10</v>
      </c>
      <c r="AK42">
        <f t="shared" si="11"/>
        <v>1.2765861747862125E-3</v>
      </c>
      <c r="AL42">
        <v>68.764533</v>
      </c>
      <c r="AM42">
        <f t="shared" si="12"/>
        <v>5.3865954651683321</v>
      </c>
    </row>
    <row r="43" spans="1:39" x14ac:dyDescent="0.2">
      <c r="A43" s="8" t="s">
        <v>43</v>
      </c>
      <c r="B43" s="8">
        <v>320</v>
      </c>
      <c r="C43" s="8">
        <v>160</v>
      </c>
      <c r="D43" s="8">
        <v>390</v>
      </c>
      <c r="E43" s="8">
        <v>195</v>
      </c>
      <c r="F43" s="8">
        <v>3</v>
      </c>
      <c r="G43" s="9">
        <v>9.5080000000000002E-4</v>
      </c>
      <c r="H43">
        <v>93.917907</v>
      </c>
      <c r="I43" s="9">
        <f t="shared" si="0"/>
        <v>9.8777773453933548</v>
      </c>
      <c r="K43" s="1" t="s">
        <v>44</v>
      </c>
      <c r="L43" s="1">
        <v>250</v>
      </c>
      <c r="M43" s="1">
        <f t="shared" si="1"/>
        <v>125</v>
      </c>
      <c r="N43" s="1">
        <v>250</v>
      </c>
      <c r="O43" s="1">
        <f t="shared" si="2"/>
        <v>125</v>
      </c>
      <c r="P43" s="1">
        <v>8</v>
      </c>
      <c r="Q43">
        <f t="shared" si="3"/>
        <v>4.5160394395353282E-4</v>
      </c>
      <c r="R43">
        <v>49.989832999999997</v>
      </c>
      <c r="S43">
        <f t="shared" si="4"/>
        <v>11.069396906140314</v>
      </c>
      <c r="U43" s="1" t="s">
        <v>41</v>
      </c>
      <c r="V43" s="4">
        <v>250</v>
      </c>
      <c r="W43" s="4">
        <f t="shared" si="5"/>
        <v>125</v>
      </c>
      <c r="X43" s="4">
        <v>250</v>
      </c>
      <c r="Y43" s="4">
        <f t="shared" si="6"/>
        <v>125</v>
      </c>
      <c r="Z43" s="3">
        <v>90</v>
      </c>
      <c r="AA43">
        <f t="shared" si="7"/>
        <v>4.9087385212340507E-5</v>
      </c>
      <c r="AB43" s="6">
        <v>36.637610000000002</v>
      </c>
      <c r="AC43">
        <f t="shared" si="8"/>
        <v>74.637526202535128</v>
      </c>
      <c r="AE43" s="1" t="s">
        <v>46</v>
      </c>
      <c r="AF43" s="4">
        <v>320</v>
      </c>
      <c r="AG43" s="4">
        <f t="shared" si="9"/>
        <v>160</v>
      </c>
      <c r="AH43" s="4">
        <v>390</v>
      </c>
      <c r="AI43" s="4">
        <f t="shared" si="10"/>
        <v>195</v>
      </c>
      <c r="AJ43" s="3">
        <v>65</v>
      </c>
      <c r="AK43">
        <f t="shared" si="11"/>
        <v>3.4306191777200539E-4</v>
      </c>
      <c r="AL43">
        <v>60.135154999999997</v>
      </c>
      <c r="AM43">
        <f t="shared" si="12"/>
        <v>17.528950864189206</v>
      </c>
    </row>
    <row r="44" spans="1:39" x14ac:dyDescent="0.2">
      <c r="A44" s="8" t="s">
        <v>42</v>
      </c>
      <c r="B44" s="4">
        <v>320</v>
      </c>
      <c r="C44" s="8">
        <v>160</v>
      </c>
      <c r="D44" s="4">
        <v>390</v>
      </c>
      <c r="E44" s="8">
        <v>195</v>
      </c>
      <c r="F44" s="8">
        <v>3</v>
      </c>
      <c r="G44" s="9">
        <v>9.5080000000000002E-4</v>
      </c>
      <c r="H44">
        <v>123.615078</v>
      </c>
      <c r="I44" s="9">
        <f t="shared" si="0"/>
        <v>13.001165124106016</v>
      </c>
      <c r="K44" s="1" t="s">
        <v>86</v>
      </c>
      <c r="L44" s="1">
        <v>260</v>
      </c>
      <c r="M44" s="1">
        <f t="shared" si="1"/>
        <v>130</v>
      </c>
      <c r="N44" s="1">
        <v>240</v>
      </c>
      <c r="O44" s="1">
        <f t="shared" si="2"/>
        <v>120</v>
      </c>
      <c r="P44" s="3">
        <v>40</v>
      </c>
      <c r="Q44">
        <f t="shared" si="3"/>
        <v>2.9405307237600462E-4</v>
      </c>
      <c r="R44">
        <v>28.857164999999998</v>
      </c>
      <c r="S44">
        <f t="shared" si="4"/>
        <v>9.8135907123257144</v>
      </c>
      <c r="U44" s="1" t="s">
        <v>44</v>
      </c>
      <c r="V44" s="4">
        <v>260</v>
      </c>
      <c r="W44" s="4">
        <f t="shared" si="5"/>
        <v>130</v>
      </c>
      <c r="X44" s="4">
        <v>240</v>
      </c>
      <c r="Y44" s="4">
        <f t="shared" si="6"/>
        <v>120</v>
      </c>
      <c r="Z44" s="3">
        <v>80</v>
      </c>
      <c r="AA44">
        <f t="shared" si="7"/>
        <v>9.8017690792001516E-5</v>
      </c>
      <c r="AB44" s="6">
        <v>64.113749999999996</v>
      </c>
      <c r="AC44">
        <f t="shared" si="8"/>
        <v>65.410386106782099</v>
      </c>
      <c r="AE44" s="1" t="s">
        <v>119</v>
      </c>
      <c r="AF44" s="4">
        <v>320</v>
      </c>
      <c r="AG44" s="4">
        <f t="shared" si="9"/>
        <v>160</v>
      </c>
      <c r="AH44" s="4">
        <v>390</v>
      </c>
      <c r="AI44" s="4">
        <f t="shared" si="10"/>
        <v>195</v>
      </c>
      <c r="AJ44" s="1">
        <v>0</v>
      </c>
      <c r="AK44">
        <f t="shared" si="11"/>
        <v>9.8017690792001557E-4</v>
      </c>
      <c r="AL44">
        <v>64.018879999999996</v>
      </c>
      <c r="AM44">
        <f t="shared" si="12"/>
        <v>6.5313597456454326</v>
      </c>
    </row>
    <row r="45" spans="1:39" x14ac:dyDescent="0.2">
      <c r="A45" s="8" t="s">
        <v>44</v>
      </c>
      <c r="B45" s="8">
        <v>320</v>
      </c>
      <c r="C45" s="8">
        <v>160</v>
      </c>
      <c r="D45" s="8">
        <v>380</v>
      </c>
      <c r="E45" s="8">
        <v>190</v>
      </c>
      <c r="F45" s="8">
        <v>2</v>
      </c>
      <c r="G45" s="9">
        <v>9.3590000000000003E-4</v>
      </c>
      <c r="H45">
        <v>101.562224</v>
      </c>
      <c r="I45" s="9">
        <f t="shared" si="0"/>
        <v>10.851824340207289</v>
      </c>
      <c r="K45" s="1" t="s">
        <v>87</v>
      </c>
      <c r="L45" s="1">
        <v>260</v>
      </c>
      <c r="M45" s="1">
        <f t="shared" si="1"/>
        <v>130</v>
      </c>
      <c r="N45" s="1">
        <v>260</v>
      </c>
      <c r="O45" s="1">
        <f t="shared" si="2"/>
        <v>130</v>
      </c>
      <c r="P45" s="1">
        <v>10</v>
      </c>
      <c r="Q45">
        <f t="shared" si="3"/>
        <v>4.7783624261100749E-4</v>
      </c>
      <c r="R45">
        <v>50.474290000000003</v>
      </c>
      <c r="S45">
        <f t="shared" si="4"/>
        <v>10.563093691721004</v>
      </c>
      <c r="U45" s="1" t="s">
        <v>117</v>
      </c>
      <c r="V45" s="4">
        <v>260</v>
      </c>
      <c r="W45" s="4">
        <f t="shared" si="5"/>
        <v>130</v>
      </c>
      <c r="X45" s="4">
        <v>260</v>
      </c>
      <c r="Y45" s="4">
        <f t="shared" si="6"/>
        <v>130</v>
      </c>
      <c r="Z45" s="3">
        <v>40</v>
      </c>
      <c r="AA45">
        <f t="shared" si="7"/>
        <v>3.1855749507400498E-4</v>
      </c>
      <c r="AB45" s="6">
        <v>81.778239999999997</v>
      </c>
      <c r="AC45">
        <f t="shared" si="8"/>
        <v>25.671422353758111</v>
      </c>
      <c r="AE45" s="1" t="s">
        <v>90</v>
      </c>
      <c r="AF45" s="4">
        <v>320</v>
      </c>
      <c r="AG45" s="4">
        <f t="shared" si="9"/>
        <v>160</v>
      </c>
      <c r="AH45" s="4">
        <v>380</v>
      </c>
      <c r="AI45" s="4">
        <f t="shared" si="10"/>
        <v>190</v>
      </c>
      <c r="AJ45" s="3">
        <v>40</v>
      </c>
      <c r="AK45">
        <f t="shared" si="11"/>
        <v>5.7302650001477831E-4</v>
      </c>
      <c r="AL45">
        <v>59.515455000000003</v>
      </c>
      <c r="AM45">
        <f t="shared" si="12"/>
        <v>10.386161023698747</v>
      </c>
    </row>
    <row r="46" spans="1:39" x14ac:dyDescent="0.2">
      <c r="A46" s="8" t="s">
        <v>45</v>
      </c>
      <c r="B46" s="8">
        <v>370</v>
      </c>
      <c r="C46" s="8">
        <v>185</v>
      </c>
      <c r="D46" s="8">
        <v>390</v>
      </c>
      <c r="E46" s="8">
        <v>195</v>
      </c>
      <c r="F46" s="8">
        <v>6</v>
      </c>
      <c r="G46" s="9">
        <v>1.0652999999999999E-3</v>
      </c>
      <c r="H46">
        <v>120.823398</v>
      </c>
      <c r="I46" s="9">
        <f t="shared" si="0"/>
        <v>11.341725147845677</v>
      </c>
      <c r="K46" s="1" t="s">
        <v>88</v>
      </c>
      <c r="L46" s="1">
        <v>220</v>
      </c>
      <c r="M46" s="1">
        <f t="shared" si="1"/>
        <v>110</v>
      </c>
      <c r="N46" s="1">
        <v>244</v>
      </c>
      <c r="O46" s="1">
        <f t="shared" si="2"/>
        <v>122</v>
      </c>
      <c r="P46" s="3">
        <v>45</v>
      </c>
      <c r="Q46">
        <f t="shared" si="3"/>
        <v>2.3188095376146267E-4</v>
      </c>
      <c r="R46">
        <v>44.106439999999999</v>
      </c>
      <c r="S46">
        <f t="shared" si="4"/>
        <v>19.021156884395328</v>
      </c>
      <c r="U46" s="1" t="s">
        <v>87</v>
      </c>
      <c r="V46" s="4">
        <v>220</v>
      </c>
      <c r="W46" s="4">
        <f t="shared" si="5"/>
        <v>110</v>
      </c>
      <c r="X46" s="4">
        <v>244</v>
      </c>
      <c r="Y46" s="4">
        <f t="shared" si="6"/>
        <v>122</v>
      </c>
      <c r="Z46" s="3">
        <v>60</v>
      </c>
      <c r="AA46">
        <f t="shared" si="7"/>
        <v>1.6864069364470012E-4</v>
      </c>
      <c r="AB46" s="6">
        <v>73.053989999999999</v>
      </c>
      <c r="AC46">
        <f t="shared" si="8"/>
        <v>43.319313044284243</v>
      </c>
      <c r="AE46" s="1" t="s">
        <v>138</v>
      </c>
      <c r="AF46" s="4">
        <v>370</v>
      </c>
      <c r="AG46" s="4">
        <f t="shared" si="9"/>
        <v>185</v>
      </c>
      <c r="AH46" s="4">
        <v>390</v>
      </c>
      <c r="AI46" s="4">
        <f t="shared" si="10"/>
        <v>195</v>
      </c>
      <c r="AJ46" s="3">
        <v>90</v>
      </c>
      <c r="AK46">
        <f t="shared" si="11"/>
        <v>1.1333295497825177E-4</v>
      </c>
      <c r="AL46">
        <v>76.624836000000002</v>
      </c>
      <c r="AM46">
        <f t="shared" si="12"/>
        <v>67.610375124079368</v>
      </c>
    </row>
    <row r="47" spans="1:39" x14ac:dyDescent="0.2">
      <c r="A47" s="8" t="s">
        <v>46</v>
      </c>
      <c r="B47" s="4">
        <v>356</v>
      </c>
      <c r="C47" s="8">
        <v>178</v>
      </c>
      <c r="D47" s="4">
        <v>386</v>
      </c>
      <c r="E47" s="8">
        <v>193</v>
      </c>
      <c r="F47" s="8">
        <v>15</v>
      </c>
      <c r="G47" s="9">
        <v>9.1739999999999996E-4</v>
      </c>
      <c r="H47">
        <v>114.896883</v>
      </c>
      <c r="I47" s="9">
        <f t="shared" si="0"/>
        <v>12.524186069326358</v>
      </c>
      <c r="K47" s="1" t="s">
        <v>89</v>
      </c>
      <c r="L47" s="4">
        <v>248</v>
      </c>
      <c r="M47" s="1">
        <f t="shared" si="1"/>
        <v>124</v>
      </c>
      <c r="N47" s="4">
        <v>248</v>
      </c>
      <c r="O47" s="1">
        <f t="shared" si="2"/>
        <v>124</v>
      </c>
      <c r="P47" s="1">
        <v>3</v>
      </c>
      <c r="Q47">
        <f t="shared" si="3"/>
        <v>4.6855974782348755E-4</v>
      </c>
      <c r="R47">
        <v>49.658788000000001</v>
      </c>
      <c r="S47">
        <f t="shared" si="4"/>
        <v>10.59817626901812</v>
      </c>
      <c r="U47" s="1" t="s">
        <v>89</v>
      </c>
      <c r="V47" s="4">
        <v>248</v>
      </c>
      <c r="W47" s="4">
        <f t="shared" si="5"/>
        <v>124</v>
      </c>
      <c r="X47" s="4">
        <v>248</v>
      </c>
      <c r="Y47" s="4">
        <f t="shared" si="6"/>
        <v>124</v>
      </c>
      <c r="Z47" s="3">
        <v>80</v>
      </c>
      <c r="AA47">
        <f t="shared" si="7"/>
        <v>9.6610257283193297E-5</v>
      </c>
      <c r="AB47" s="6">
        <v>29.033339999999999</v>
      </c>
      <c r="AC47">
        <f t="shared" si="8"/>
        <v>30.052026375309897</v>
      </c>
      <c r="AE47" s="1" t="s">
        <v>49</v>
      </c>
      <c r="AF47" s="4">
        <v>356</v>
      </c>
      <c r="AG47" s="4">
        <f t="shared" si="9"/>
        <v>178</v>
      </c>
      <c r="AH47" s="4">
        <v>386</v>
      </c>
      <c r="AI47" s="4">
        <f t="shared" si="10"/>
        <v>193</v>
      </c>
      <c r="AJ47" s="3">
        <v>85</v>
      </c>
      <c r="AK47">
        <f t="shared" si="11"/>
        <v>1.6188941103213568E-4</v>
      </c>
      <c r="AL47">
        <v>71.915516999999994</v>
      </c>
      <c r="AM47">
        <f t="shared" si="12"/>
        <v>44.422619454538932</v>
      </c>
    </row>
    <row r="48" spans="1:39" x14ac:dyDescent="0.2">
      <c r="A48" s="8" t="s">
        <v>47</v>
      </c>
      <c r="B48" s="8">
        <v>380</v>
      </c>
      <c r="C48" s="8">
        <v>190</v>
      </c>
      <c r="D48" s="8">
        <v>390</v>
      </c>
      <c r="E48" s="8">
        <v>195</v>
      </c>
      <c r="F48" s="8">
        <v>3</v>
      </c>
      <c r="G48" s="9">
        <v>1.129E-3</v>
      </c>
      <c r="H48">
        <v>125.62759</v>
      </c>
      <c r="I48" s="9">
        <f t="shared" si="0"/>
        <v>11.127333038086801</v>
      </c>
      <c r="K48" s="1" t="s">
        <v>90</v>
      </c>
      <c r="L48" s="1">
        <v>259</v>
      </c>
      <c r="M48" s="1">
        <f t="shared" si="1"/>
        <v>129.5</v>
      </c>
      <c r="N48" s="1">
        <v>280</v>
      </c>
      <c r="O48" s="1">
        <f t="shared" si="2"/>
        <v>140</v>
      </c>
      <c r="P48" s="3">
        <v>65</v>
      </c>
      <c r="Q48">
        <f t="shared" si="3"/>
        <v>1.993497618335403E-4</v>
      </c>
      <c r="R48">
        <v>36.388520999999997</v>
      </c>
      <c r="S48">
        <f t="shared" si="4"/>
        <v>18.253606457972545</v>
      </c>
      <c r="U48" s="1" t="s">
        <v>118</v>
      </c>
      <c r="V48" s="4">
        <v>259</v>
      </c>
      <c r="W48" s="4">
        <f t="shared" si="5"/>
        <v>129.5</v>
      </c>
      <c r="X48" s="4">
        <v>280</v>
      </c>
      <c r="Y48" s="4">
        <f t="shared" si="6"/>
        <v>140</v>
      </c>
      <c r="Z48" s="3">
        <v>50</v>
      </c>
      <c r="AA48">
        <f t="shared" si="7"/>
        <v>2.8478537404791473E-4</v>
      </c>
      <c r="AB48" s="6">
        <v>34.778700000000001</v>
      </c>
      <c r="AC48">
        <f t="shared" si="8"/>
        <v>12.212249353138667</v>
      </c>
      <c r="AE48" s="1" t="s">
        <v>91</v>
      </c>
      <c r="AF48" s="4">
        <v>380</v>
      </c>
      <c r="AG48" s="4">
        <f t="shared" si="9"/>
        <v>190</v>
      </c>
      <c r="AH48" s="4">
        <v>390</v>
      </c>
      <c r="AI48" s="4">
        <f t="shared" si="10"/>
        <v>195</v>
      </c>
      <c r="AJ48" s="1">
        <v>9</v>
      </c>
      <c r="AK48">
        <f t="shared" si="11"/>
        <v>1.0592036711210668E-3</v>
      </c>
      <c r="AL48">
        <v>67.682580999999999</v>
      </c>
      <c r="AM48">
        <f t="shared" si="12"/>
        <v>6.3899496239816092</v>
      </c>
    </row>
    <row r="49" spans="1:39" x14ac:dyDescent="0.2">
      <c r="A49" s="8" t="s">
        <v>48</v>
      </c>
      <c r="B49" s="4">
        <v>356</v>
      </c>
      <c r="C49" s="8">
        <v>178</v>
      </c>
      <c r="D49" s="4">
        <v>386</v>
      </c>
      <c r="E49" s="8">
        <v>193</v>
      </c>
      <c r="F49" s="8">
        <v>2</v>
      </c>
      <c r="G49" s="9">
        <v>1.0577E-3</v>
      </c>
      <c r="H49">
        <v>129.08943400000001</v>
      </c>
      <c r="I49" s="9">
        <f t="shared" si="0"/>
        <v>12.204730452869436</v>
      </c>
      <c r="K49" s="1" t="s">
        <v>91</v>
      </c>
      <c r="L49" s="1">
        <v>260</v>
      </c>
      <c r="M49" s="1">
        <f t="shared" si="1"/>
        <v>130</v>
      </c>
      <c r="N49" s="1">
        <v>260</v>
      </c>
      <c r="O49" s="1">
        <f t="shared" si="2"/>
        <v>130</v>
      </c>
      <c r="P49" s="3">
        <v>10</v>
      </c>
      <c r="Q49">
        <f t="shared" si="3"/>
        <v>4.7783624261100749E-4</v>
      </c>
      <c r="R49">
        <v>49.079075000000003</v>
      </c>
      <c r="S49">
        <f t="shared" si="4"/>
        <v>10.271107677354193</v>
      </c>
      <c r="U49" s="1" t="s">
        <v>119</v>
      </c>
      <c r="V49" s="4">
        <v>260</v>
      </c>
      <c r="W49" s="4">
        <f t="shared" si="5"/>
        <v>130</v>
      </c>
      <c r="X49" s="4">
        <v>260</v>
      </c>
      <c r="Y49" s="4">
        <f t="shared" si="6"/>
        <v>130</v>
      </c>
      <c r="Z49" s="3">
        <v>30</v>
      </c>
      <c r="AA49">
        <f t="shared" si="7"/>
        <v>3.7165041091967248E-4</v>
      </c>
      <c r="AB49" s="6">
        <v>29.78</v>
      </c>
      <c r="AC49">
        <f t="shared" si="8"/>
        <v>8.0129065177965249</v>
      </c>
      <c r="AE49" s="1" t="s">
        <v>51</v>
      </c>
      <c r="AF49" s="4">
        <v>356</v>
      </c>
      <c r="AG49" s="4">
        <f t="shared" si="9"/>
        <v>178</v>
      </c>
      <c r="AH49" s="4">
        <v>386</v>
      </c>
      <c r="AI49" s="4">
        <f t="shared" si="10"/>
        <v>193</v>
      </c>
      <c r="AJ49" s="3">
        <v>40</v>
      </c>
      <c r="AK49">
        <f t="shared" si="11"/>
        <v>6.4755764412854249E-4</v>
      </c>
      <c r="AL49">
        <v>77.547321999999994</v>
      </c>
      <c r="AM49">
        <f t="shared" si="12"/>
        <v>11.975354272029344</v>
      </c>
    </row>
    <row r="50" spans="1:39" x14ac:dyDescent="0.2">
      <c r="A50" s="8" t="s">
        <v>49</v>
      </c>
      <c r="B50" s="8">
        <v>360</v>
      </c>
      <c r="C50" s="8">
        <v>180</v>
      </c>
      <c r="D50" s="8">
        <v>380</v>
      </c>
      <c r="E50" s="8">
        <v>190</v>
      </c>
      <c r="F50" s="8">
        <v>6</v>
      </c>
      <c r="G50" s="9">
        <v>1.01E-3</v>
      </c>
      <c r="H50">
        <v>142.38775899999999</v>
      </c>
      <c r="I50" s="9">
        <f t="shared" si="0"/>
        <v>14.097797920792079</v>
      </c>
      <c r="K50" s="1" t="s">
        <v>92</v>
      </c>
      <c r="L50" s="1">
        <v>263</v>
      </c>
      <c r="M50" s="1">
        <f t="shared" si="1"/>
        <v>131.5</v>
      </c>
      <c r="N50" s="1">
        <v>260</v>
      </c>
      <c r="O50" s="1">
        <f t="shared" si="2"/>
        <v>130</v>
      </c>
      <c r="P50" s="3">
        <v>20</v>
      </c>
      <c r="Q50">
        <f t="shared" si="3"/>
        <v>4.2964421130494009E-4</v>
      </c>
      <c r="R50">
        <v>33.695953000000003</v>
      </c>
      <c r="S50">
        <f t="shared" si="4"/>
        <v>7.8427573590847928</v>
      </c>
      <c r="U50" s="1" t="s">
        <v>90</v>
      </c>
      <c r="V50" s="4">
        <v>263</v>
      </c>
      <c r="W50" s="4">
        <f t="shared" si="5"/>
        <v>131.5</v>
      </c>
      <c r="X50" s="4">
        <v>260</v>
      </c>
      <c r="Y50" s="4">
        <f t="shared" si="6"/>
        <v>130</v>
      </c>
      <c r="Z50" s="1">
        <v>5</v>
      </c>
      <c r="AA50">
        <f t="shared" si="7"/>
        <v>5.1020250092461631E-4</v>
      </c>
      <c r="AB50" s="6">
        <v>40.860529999999997</v>
      </c>
      <c r="AC50">
        <f t="shared" si="8"/>
        <v>8.0086886924212166</v>
      </c>
      <c r="AE50" s="1" t="s">
        <v>53</v>
      </c>
      <c r="AF50" s="4">
        <v>360</v>
      </c>
      <c r="AG50" s="4">
        <f t="shared" si="9"/>
        <v>180</v>
      </c>
      <c r="AH50" s="4">
        <v>380</v>
      </c>
      <c r="AI50" s="4">
        <f t="shared" si="10"/>
        <v>190</v>
      </c>
      <c r="AJ50" s="3">
        <v>70</v>
      </c>
      <c r="AK50">
        <f t="shared" si="11"/>
        <v>3.2232740625831282E-4</v>
      </c>
      <c r="AL50">
        <v>72.385844000000006</v>
      </c>
      <c r="AM50">
        <f t="shared" si="12"/>
        <v>22.457241486313478</v>
      </c>
    </row>
    <row r="51" spans="1:39" x14ac:dyDescent="0.2">
      <c r="A51" s="8" t="s">
        <v>50</v>
      </c>
      <c r="B51" s="8">
        <v>370</v>
      </c>
      <c r="C51" s="8">
        <v>185</v>
      </c>
      <c r="D51" s="8">
        <v>380</v>
      </c>
      <c r="E51" s="8">
        <v>190</v>
      </c>
      <c r="F51" s="8">
        <v>3</v>
      </c>
      <c r="G51" s="9">
        <v>1.0711E-3</v>
      </c>
      <c r="H51">
        <v>133.324389</v>
      </c>
      <c r="I51" s="9">
        <f t="shared" si="0"/>
        <v>12.447426850900943</v>
      </c>
      <c r="K51" s="1" t="s">
        <v>51</v>
      </c>
      <c r="L51" s="4">
        <v>280</v>
      </c>
      <c r="M51" s="1">
        <f t="shared" si="1"/>
        <v>140</v>
      </c>
      <c r="N51" s="4">
        <v>270</v>
      </c>
      <c r="O51" s="1">
        <f t="shared" si="2"/>
        <v>135</v>
      </c>
      <c r="P51" s="1">
        <v>6</v>
      </c>
      <c r="Q51">
        <f t="shared" si="3"/>
        <v>5.581353508367626E-4</v>
      </c>
      <c r="R51">
        <v>47.019753999999999</v>
      </c>
      <c r="S51">
        <f t="shared" si="4"/>
        <v>8.4244357447539322</v>
      </c>
      <c r="U51" s="1" t="s">
        <v>120</v>
      </c>
      <c r="V51" s="4">
        <v>280</v>
      </c>
      <c r="W51" s="4">
        <f t="shared" si="5"/>
        <v>140</v>
      </c>
      <c r="X51" s="4">
        <v>270</v>
      </c>
      <c r="Y51" s="4">
        <f t="shared" si="6"/>
        <v>135</v>
      </c>
      <c r="Z51" s="3">
        <v>70</v>
      </c>
      <c r="AA51">
        <f t="shared" si="7"/>
        <v>1.7812830345854128E-4</v>
      </c>
      <c r="AB51" s="6">
        <v>55.20581</v>
      </c>
      <c r="AC51">
        <f t="shared" si="8"/>
        <v>30.992160666285667</v>
      </c>
      <c r="AE51" s="1" t="s">
        <v>54</v>
      </c>
      <c r="AF51" s="4">
        <v>370</v>
      </c>
      <c r="AG51" s="4">
        <f t="shared" si="9"/>
        <v>185</v>
      </c>
      <c r="AH51" s="4">
        <v>380</v>
      </c>
      <c r="AI51" s="4">
        <f t="shared" si="10"/>
        <v>190</v>
      </c>
      <c r="AJ51" s="3">
        <v>90</v>
      </c>
      <c r="AK51">
        <f t="shared" si="11"/>
        <v>1.1042698177368119E-4</v>
      </c>
      <c r="AL51">
        <v>72.486772000000002</v>
      </c>
      <c r="AM51">
        <f t="shared" si="12"/>
        <v>65.642264993315493</v>
      </c>
    </row>
    <row r="52" spans="1:39" x14ac:dyDescent="0.2">
      <c r="A52" s="8" t="s">
        <v>51</v>
      </c>
      <c r="B52" s="8">
        <v>290</v>
      </c>
      <c r="C52" s="8">
        <v>145</v>
      </c>
      <c r="D52" s="8">
        <v>360</v>
      </c>
      <c r="E52" s="8">
        <v>180</v>
      </c>
      <c r="F52" s="8">
        <v>1</v>
      </c>
      <c r="G52" s="9">
        <v>8.118E-4</v>
      </c>
      <c r="H52">
        <v>94.432642000000001</v>
      </c>
      <c r="I52" s="9">
        <f t="shared" si="0"/>
        <v>11.632500862281351</v>
      </c>
      <c r="K52" s="1" t="s">
        <v>52</v>
      </c>
      <c r="L52" s="4">
        <v>280</v>
      </c>
      <c r="M52" s="1">
        <f t="shared" si="1"/>
        <v>140</v>
      </c>
      <c r="N52" s="4">
        <v>270</v>
      </c>
      <c r="O52" s="1">
        <f t="shared" si="2"/>
        <v>135</v>
      </c>
      <c r="P52" s="1">
        <v>2</v>
      </c>
      <c r="Q52">
        <f t="shared" si="3"/>
        <v>5.8188579129790142E-4</v>
      </c>
      <c r="R52">
        <v>47.325260999999998</v>
      </c>
      <c r="S52">
        <f t="shared" si="4"/>
        <v>8.1330841391470639</v>
      </c>
      <c r="U52" s="1" t="s">
        <v>51</v>
      </c>
      <c r="V52" s="4">
        <v>280</v>
      </c>
      <c r="W52" s="4">
        <f t="shared" si="5"/>
        <v>140</v>
      </c>
      <c r="X52" s="4">
        <v>270</v>
      </c>
      <c r="Y52" s="4">
        <f t="shared" si="6"/>
        <v>135</v>
      </c>
      <c r="Z52" s="3">
        <v>65</v>
      </c>
      <c r="AA52">
        <f t="shared" si="7"/>
        <v>2.078163540349648E-4</v>
      </c>
      <c r="AB52" s="6">
        <v>36.77937</v>
      </c>
      <c r="AC52">
        <f t="shared" si="8"/>
        <v>17.698015235996262</v>
      </c>
      <c r="AE52" s="1" t="s">
        <v>122</v>
      </c>
      <c r="AF52" s="4">
        <v>290</v>
      </c>
      <c r="AG52" s="4">
        <f t="shared" si="9"/>
        <v>145</v>
      </c>
      <c r="AH52" s="4">
        <v>360</v>
      </c>
      <c r="AI52" s="4">
        <f t="shared" si="10"/>
        <v>180</v>
      </c>
      <c r="AJ52" s="3">
        <v>90</v>
      </c>
      <c r="AK52">
        <f t="shared" si="11"/>
        <v>8.199556825869359E-5</v>
      </c>
      <c r="AL52">
        <v>63.510201000000002</v>
      </c>
      <c r="AM52">
        <f t="shared" si="12"/>
        <v>77.455650773255456</v>
      </c>
    </row>
    <row r="53" spans="1:39" x14ac:dyDescent="0.2">
      <c r="A53" s="8" t="s">
        <v>52</v>
      </c>
      <c r="B53" s="8">
        <v>330</v>
      </c>
      <c r="C53" s="8">
        <v>165</v>
      </c>
      <c r="D53" s="8">
        <v>360</v>
      </c>
      <c r="E53" s="8">
        <v>180</v>
      </c>
      <c r="F53" s="8">
        <v>4</v>
      </c>
      <c r="G53" s="9">
        <v>8.9570000000000003E-4</v>
      </c>
      <c r="H53">
        <v>121.12618399999999</v>
      </c>
      <c r="I53" s="9">
        <f t="shared" si="0"/>
        <v>13.523075136764541</v>
      </c>
      <c r="K53" s="1" t="s">
        <v>53</v>
      </c>
      <c r="L53" s="4">
        <v>280</v>
      </c>
      <c r="M53" s="1">
        <f t="shared" si="1"/>
        <v>140</v>
      </c>
      <c r="N53" s="4">
        <v>270</v>
      </c>
      <c r="O53" s="1">
        <f t="shared" si="2"/>
        <v>135</v>
      </c>
      <c r="P53" s="1">
        <v>3</v>
      </c>
      <c r="Q53">
        <f t="shared" si="3"/>
        <v>5.7594818118261672E-4</v>
      </c>
      <c r="R53">
        <v>46.843375000000002</v>
      </c>
      <c r="S53">
        <f t="shared" si="4"/>
        <v>8.1332620764275507</v>
      </c>
      <c r="U53" s="1" t="s">
        <v>52</v>
      </c>
      <c r="V53" s="4">
        <v>280</v>
      </c>
      <c r="W53" s="4">
        <f t="shared" si="5"/>
        <v>140</v>
      </c>
      <c r="X53" s="4">
        <v>270</v>
      </c>
      <c r="Y53" s="4">
        <f t="shared" si="6"/>
        <v>135</v>
      </c>
      <c r="Z53" s="3">
        <v>70</v>
      </c>
      <c r="AA53">
        <f t="shared" si="7"/>
        <v>1.7812830345854128E-4</v>
      </c>
      <c r="AB53" s="6">
        <v>47.329360000000001</v>
      </c>
      <c r="AC53">
        <f t="shared" si="8"/>
        <v>26.570376004853006</v>
      </c>
      <c r="AE53" s="1" t="s">
        <v>139</v>
      </c>
      <c r="AF53" s="4">
        <v>330</v>
      </c>
      <c r="AG53" s="4">
        <f t="shared" si="9"/>
        <v>165</v>
      </c>
      <c r="AH53" s="4">
        <v>360</v>
      </c>
      <c r="AI53" s="4">
        <f t="shared" si="10"/>
        <v>180</v>
      </c>
      <c r="AJ53" s="3">
        <v>60</v>
      </c>
      <c r="AK53">
        <f t="shared" si="11"/>
        <v>3.7322120724646741E-4</v>
      </c>
      <c r="AL53">
        <v>76.243326999999994</v>
      </c>
      <c r="AM53">
        <f t="shared" si="12"/>
        <v>20.428455168050114</v>
      </c>
    </row>
    <row r="54" spans="1:39" x14ac:dyDescent="0.2">
      <c r="A54" s="8" t="s">
        <v>53</v>
      </c>
      <c r="B54" s="8">
        <v>350</v>
      </c>
      <c r="C54" s="8">
        <v>175</v>
      </c>
      <c r="D54" s="8">
        <v>370</v>
      </c>
      <c r="E54" s="8">
        <v>185</v>
      </c>
      <c r="F54" s="8">
        <v>10</v>
      </c>
      <c r="G54" s="9">
        <v>9.1540000000000002E-4</v>
      </c>
      <c r="H54">
        <v>132.43016399999999</v>
      </c>
      <c r="I54" s="9">
        <f t="shared" si="0"/>
        <v>14.466917631636443</v>
      </c>
      <c r="K54" s="1" t="s">
        <v>93</v>
      </c>
      <c r="L54" s="4">
        <v>280</v>
      </c>
      <c r="M54" s="1">
        <f t="shared" si="1"/>
        <v>140</v>
      </c>
      <c r="N54" s="4">
        <v>270</v>
      </c>
      <c r="O54" s="1">
        <f t="shared" si="2"/>
        <v>135</v>
      </c>
      <c r="P54" s="1">
        <v>2</v>
      </c>
      <c r="Q54">
        <f t="shared" si="3"/>
        <v>5.8188579129790142E-4</v>
      </c>
      <c r="R54">
        <v>50.288581000000001</v>
      </c>
      <c r="S54">
        <f t="shared" si="4"/>
        <v>8.6423455860351694</v>
      </c>
      <c r="U54" s="1" t="s">
        <v>121</v>
      </c>
      <c r="V54" s="4">
        <v>280</v>
      </c>
      <c r="W54" s="4">
        <f t="shared" si="5"/>
        <v>140</v>
      </c>
      <c r="X54" s="4">
        <v>270</v>
      </c>
      <c r="Y54" s="4">
        <f t="shared" si="6"/>
        <v>135</v>
      </c>
      <c r="Z54" s="3">
        <v>75</v>
      </c>
      <c r="AA54">
        <f t="shared" si="7"/>
        <v>1.4844025288211771E-4</v>
      </c>
      <c r="AB54" s="6">
        <v>23.20121</v>
      </c>
      <c r="AC54">
        <f t="shared" si="8"/>
        <v>15.62999897233064</v>
      </c>
      <c r="AE54" s="1" t="s">
        <v>140</v>
      </c>
      <c r="AF54" s="4">
        <v>350</v>
      </c>
      <c r="AG54" s="4">
        <f t="shared" si="9"/>
        <v>175</v>
      </c>
      <c r="AH54" s="4">
        <v>370</v>
      </c>
      <c r="AI54" s="4">
        <f t="shared" si="10"/>
        <v>185</v>
      </c>
      <c r="AJ54" s="3">
        <v>25</v>
      </c>
      <c r="AK54">
        <f t="shared" si="11"/>
        <v>7.6281796619977161E-4</v>
      </c>
      <c r="AL54">
        <v>71.681364000000002</v>
      </c>
      <c r="AM54">
        <f t="shared" si="12"/>
        <v>9.3969160633570645</v>
      </c>
    </row>
    <row r="55" spans="1:39" x14ac:dyDescent="0.2">
      <c r="A55" s="8" t="s">
        <v>54</v>
      </c>
      <c r="B55" s="8">
        <v>320</v>
      </c>
      <c r="C55" s="8">
        <v>160</v>
      </c>
      <c r="D55" s="8">
        <v>340</v>
      </c>
      <c r="E55" s="8">
        <v>170</v>
      </c>
      <c r="F55" s="8">
        <v>15</v>
      </c>
      <c r="G55" s="9">
        <v>7.2630000000000004E-4</v>
      </c>
      <c r="H55">
        <v>122.18795</v>
      </c>
      <c r="I55" s="9">
        <f t="shared" si="0"/>
        <v>16.82334434806554</v>
      </c>
      <c r="K55" s="1" t="s">
        <v>94</v>
      </c>
      <c r="L55" s="1">
        <v>280</v>
      </c>
      <c r="M55" s="1">
        <f t="shared" si="1"/>
        <v>140</v>
      </c>
      <c r="N55" s="1">
        <v>270</v>
      </c>
      <c r="O55" s="1">
        <f t="shared" si="2"/>
        <v>135</v>
      </c>
      <c r="P55" s="1">
        <v>5</v>
      </c>
      <c r="Q55">
        <f t="shared" si="3"/>
        <v>5.6407296095204731E-4</v>
      </c>
      <c r="R55">
        <v>58.358815999999997</v>
      </c>
      <c r="S55">
        <f t="shared" si="4"/>
        <v>10.345969411740899</v>
      </c>
      <c r="U55" s="1" t="s">
        <v>54</v>
      </c>
      <c r="V55" s="4">
        <v>280</v>
      </c>
      <c r="W55" s="4">
        <f t="shared" si="5"/>
        <v>140</v>
      </c>
      <c r="X55" s="4">
        <v>270</v>
      </c>
      <c r="Y55" s="4">
        <f t="shared" si="6"/>
        <v>135</v>
      </c>
      <c r="Z55" s="3">
        <v>70</v>
      </c>
      <c r="AA55">
        <f t="shared" si="7"/>
        <v>1.7812830345854128E-4</v>
      </c>
      <c r="AB55" s="6">
        <v>31.4831</v>
      </c>
      <c r="AC55">
        <f t="shared" si="8"/>
        <v>17.67439502242134</v>
      </c>
      <c r="AE55" s="1" t="s">
        <v>123</v>
      </c>
      <c r="AF55" s="4">
        <v>320</v>
      </c>
      <c r="AG55" s="4">
        <f t="shared" si="9"/>
        <v>160</v>
      </c>
      <c r="AH55" s="4">
        <v>340</v>
      </c>
      <c r="AI55" s="4">
        <f t="shared" si="10"/>
        <v>170</v>
      </c>
      <c r="AJ55" s="1">
        <v>18</v>
      </c>
      <c r="AK55">
        <f t="shared" si="11"/>
        <v>7.0070082545666749E-4</v>
      </c>
      <c r="AL55">
        <v>68.211444999999998</v>
      </c>
      <c r="AM55">
        <f t="shared" si="12"/>
        <v>9.73474591749547</v>
      </c>
    </row>
    <row r="56" spans="1:39" x14ac:dyDescent="0.2">
      <c r="A56" s="8" t="s">
        <v>55</v>
      </c>
      <c r="B56" s="8">
        <v>350</v>
      </c>
      <c r="C56" s="8">
        <v>175</v>
      </c>
      <c r="D56" s="8">
        <v>380</v>
      </c>
      <c r="E56" s="8">
        <v>190</v>
      </c>
      <c r="F56" s="8">
        <v>5</v>
      </c>
      <c r="G56" s="9">
        <v>9.9240000000000005E-4</v>
      </c>
      <c r="H56">
        <v>135.53472099999999</v>
      </c>
      <c r="I56" s="9">
        <f t="shared" si="0"/>
        <v>13.65726733172108</v>
      </c>
      <c r="K56" s="1" t="s">
        <v>95</v>
      </c>
      <c r="L56" s="4">
        <v>260</v>
      </c>
      <c r="M56" s="1">
        <f t="shared" si="1"/>
        <v>130</v>
      </c>
      <c r="N56" s="4">
        <v>260</v>
      </c>
      <c r="O56" s="1">
        <f t="shared" si="2"/>
        <v>130</v>
      </c>
      <c r="P56" s="1">
        <v>4</v>
      </c>
      <c r="Q56">
        <f t="shared" si="3"/>
        <v>5.0969199211840799E-4</v>
      </c>
      <c r="R56">
        <v>50.813409</v>
      </c>
      <c r="S56">
        <f t="shared" si="4"/>
        <v>9.9694344399657346</v>
      </c>
      <c r="U56" s="1" t="s">
        <v>93</v>
      </c>
      <c r="V56" s="4">
        <v>260</v>
      </c>
      <c r="W56" s="4">
        <f t="shared" si="5"/>
        <v>130</v>
      </c>
      <c r="X56" s="4">
        <v>260</v>
      </c>
      <c r="Y56" s="4">
        <f t="shared" si="6"/>
        <v>130</v>
      </c>
      <c r="Z56" s="3">
        <v>55</v>
      </c>
      <c r="AA56">
        <f t="shared" si="7"/>
        <v>2.3891812130550375E-4</v>
      </c>
      <c r="AB56" s="6">
        <v>43.682400000000001</v>
      </c>
      <c r="AC56">
        <f t="shared" si="8"/>
        <v>18.283418503924814</v>
      </c>
      <c r="AE56" s="1" t="s">
        <v>141</v>
      </c>
      <c r="AF56" s="4">
        <v>350</v>
      </c>
      <c r="AG56" s="4">
        <f t="shared" si="9"/>
        <v>175</v>
      </c>
      <c r="AH56" s="4">
        <v>380</v>
      </c>
      <c r="AI56" s="4">
        <f t="shared" si="10"/>
        <v>190</v>
      </c>
      <c r="AJ56" s="3">
        <v>15</v>
      </c>
      <c r="AK56">
        <f t="shared" si="11"/>
        <v>8.8789262372081517E-4</v>
      </c>
      <c r="AL56">
        <v>62.060868999999997</v>
      </c>
      <c r="AM56">
        <f t="shared" si="12"/>
        <v>6.9896817860617944</v>
      </c>
    </row>
    <row r="57" spans="1:39" x14ac:dyDescent="0.2">
      <c r="A57" s="8" t="s">
        <v>56</v>
      </c>
      <c r="B57" s="8">
        <v>360</v>
      </c>
      <c r="C57" s="8">
        <v>180</v>
      </c>
      <c r="D57" s="8">
        <v>370</v>
      </c>
      <c r="E57" s="8">
        <v>185</v>
      </c>
      <c r="F57" s="8">
        <v>2</v>
      </c>
      <c r="G57" s="9">
        <v>1.0252E-3</v>
      </c>
      <c r="H57">
        <v>140.49298999999999</v>
      </c>
      <c r="I57" s="9">
        <f t="shared" si="0"/>
        <v>13.703959227467811</v>
      </c>
      <c r="K57" s="1" t="s">
        <v>96</v>
      </c>
      <c r="L57" s="1">
        <v>260</v>
      </c>
      <c r="M57" s="1">
        <f t="shared" si="1"/>
        <v>130</v>
      </c>
      <c r="N57" s="1">
        <v>260</v>
      </c>
      <c r="O57" s="1">
        <f t="shared" si="2"/>
        <v>130</v>
      </c>
      <c r="P57" s="1">
        <v>10</v>
      </c>
      <c r="Q57">
        <f t="shared" si="3"/>
        <v>4.7783624261100749E-4</v>
      </c>
      <c r="R57">
        <v>54.355995999999998</v>
      </c>
      <c r="S57">
        <f t="shared" si="4"/>
        <v>11.375444378807748</v>
      </c>
      <c r="U57" s="1" t="s">
        <v>122</v>
      </c>
      <c r="V57" s="4">
        <v>260</v>
      </c>
      <c r="W57" s="4">
        <f t="shared" si="5"/>
        <v>130</v>
      </c>
      <c r="X57" s="4">
        <v>260</v>
      </c>
      <c r="Y57" s="4">
        <f t="shared" si="6"/>
        <v>130</v>
      </c>
      <c r="Z57" s="3">
        <v>28</v>
      </c>
      <c r="AA57">
        <f t="shared" si="7"/>
        <v>3.8226899408880602E-4</v>
      </c>
      <c r="AB57" s="6">
        <v>44.168280000000003</v>
      </c>
      <c r="AC57">
        <f t="shared" si="8"/>
        <v>11.554240778873931</v>
      </c>
      <c r="AE57" s="1" t="s">
        <v>58</v>
      </c>
      <c r="AF57" s="4">
        <v>360</v>
      </c>
      <c r="AG57" s="4">
        <f t="shared" si="9"/>
        <v>180</v>
      </c>
      <c r="AH57" s="4">
        <v>370</v>
      </c>
      <c r="AI57" s="4">
        <f t="shared" si="10"/>
        <v>185</v>
      </c>
      <c r="AJ57" s="3">
        <v>30</v>
      </c>
      <c r="AK57">
        <f t="shared" si="11"/>
        <v>7.3230524755178077E-4</v>
      </c>
      <c r="AL57">
        <v>79.525518000000005</v>
      </c>
      <c r="AM57">
        <f t="shared" si="12"/>
        <v>10.859613291843415</v>
      </c>
    </row>
    <row r="58" spans="1:39" x14ac:dyDescent="0.2">
      <c r="A58" s="8" t="s">
        <v>57</v>
      </c>
      <c r="B58" s="8">
        <v>360</v>
      </c>
      <c r="C58" s="8">
        <v>180</v>
      </c>
      <c r="D58" s="8">
        <v>370</v>
      </c>
      <c r="E58" s="8">
        <v>185</v>
      </c>
      <c r="F58" s="8">
        <v>20</v>
      </c>
      <c r="G58" s="9">
        <v>8.3690000000000001E-4</v>
      </c>
      <c r="H58">
        <v>153.108373</v>
      </c>
      <c r="I58" s="9">
        <f t="shared" si="0"/>
        <v>18.294703429322499</v>
      </c>
      <c r="K58" s="1" t="s">
        <v>59</v>
      </c>
      <c r="L58" s="1">
        <v>260</v>
      </c>
      <c r="M58" s="1">
        <f t="shared" si="1"/>
        <v>130</v>
      </c>
      <c r="N58" s="1">
        <v>240</v>
      </c>
      <c r="O58" s="1">
        <f t="shared" si="2"/>
        <v>120</v>
      </c>
      <c r="P58" s="1">
        <v>2</v>
      </c>
      <c r="Q58">
        <f t="shared" si="3"/>
        <v>4.8028668488080752E-4</v>
      </c>
      <c r="R58">
        <v>51.469444000000003</v>
      </c>
      <c r="S58">
        <f t="shared" si="4"/>
        <v>10.716400354253658</v>
      </c>
      <c r="U58" s="1" t="s">
        <v>94</v>
      </c>
      <c r="V58" s="4">
        <v>260</v>
      </c>
      <c r="W58" s="4">
        <f t="shared" si="5"/>
        <v>130</v>
      </c>
      <c r="X58" s="4">
        <v>240</v>
      </c>
      <c r="Y58" s="4">
        <f t="shared" si="6"/>
        <v>120</v>
      </c>
      <c r="Z58" s="3">
        <v>40</v>
      </c>
      <c r="AA58">
        <f t="shared" si="7"/>
        <v>2.9405307237600462E-4</v>
      </c>
      <c r="AB58" s="6">
        <v>23.567209999999999</v>
      </c>
      <c r="AC58">
        <f t="shared" si="8"/>
        <v>8.0146110392836469</v>
      </c>
      <c r="AE58" s="1" t="s">
        <v>59</v>
      </c>
      <c r="AF58" s="4">
        <v>360</v>
      </c>
      <c r="AG58" s="4">
        <f t="shared" si="9"/>
        <v>180</v>
      </c>
      <c r="AH58" s="4">
        <v>370</v>
      </c>
      <c r="AI58" s="4">
        <f t="shared" si="10"/>
        <v>185</v>
      </c>
      <c r="AJ58" s="1">
        <v>1</v>
      </c>
      <c r="AK58">
        <f t="shared" si="11"/>
        <v>1.0356888501089473E-3</v>
      </c>
      <c r="AL58">
        <v>83.663582000000005</v>
      </c>
      <c r="AM58">
        <f t="shared" si="12"/>
        <v>8.0780614748531079</v>
      </c>
    </row>
    <row r="59" spans="1:39" x14ac:dyDescent="0.2">
      <c r="A59" s="8" t="s">
        <v>58</v>
      </c>
      <c r="B59" s="8">
        <v>270</v>
      </c>
      <c r="C59" s="8">
        <v>135</v>
      </c>
      <c r="D59" s="8">
        <v>320</v>
      </c>
      <c r="E59" s="8">
        <v>160</v>
      </c>
      <c r="F59" s="8">
        <v>10</v>
      </c>
      <c r="G59" s="9">
        <v>6.1070000000000004E-4</v>
      </c>
      <c r="H59">
        <v>84.527529999999999</v>
      </c>
      <c r="I59" s="9">
        <f t="shared" si="0"/>
        <v>13.841088914360569</v>
      </c>
      <c r="K59" s="1" t="s">
        <v>97</v>
      </c>
      <c r="L59" s="4">
        <v>263</v>
      </c>
      <c r="M59" s="1">
        <f t="shared" si="1"/>
        <v>131.5</v>
      </c>
      <c r="N59" s="4">
        <v>240</v>
      </c>
      <c r="O59" s="1">
        <f t="shared" si="2"/>
        <v>120</v>
      </c>
      <c r="P59" s="1">
        <v>1</v>
      </c>
      <c r="Q59">
        <f t="shared" si="3"/>
        <v>4.9078588752910477E-4</v>
      </c>
      <c r="R59">
        <v>54.440775000000002</v>
      </c>
      <c r="S59">
        <f t="shared" si="4"/>
        <v>11.092571400959759</v>
      </c>
      <c r="U59" s="1" t="s">
        <v>123</v>
      </c>
      <c r="V59" s="4">
        <v>263</v>
      </c>
      <c r="W59" s="4">
        <f t="shared" si="5"/>
        <v>131.5</v>
      </c>
      <c r="X59" s="4">
        <v>240</v>
      </c>
      <c r="Y59" s="4">
        <f t="shared" si="6"/>
        <v>120</v>
      </c>
      <c r="Z59" s="3">
        <v>75</v>
      </c>
      <c r="AA59">
        <f t="shared" si="7"/>
        <v>1.2393583018411734E-4</v>
      </c>
      <c r="AB59" s="6">
        <v>33.021839999999997</v>
      </c>
      <c r="AC59">
        <f t="shared" si="8"/>
        <v>26.644304517057911</v>
      </c>
      <c r="AE59" s="1" t="s">
        <v>60</v>
      </c>
      <c r="AF59" s="4">
        <v>270</v>
      </c>
      <c r="AG59" s="4">
        <f t="shared" si="9"/>
        <v>135</v>
      </c>
      <c r="AH59" s="4">
        <v>320</v>
      </c>
      <c r="AI59" s="4">
        <f t="shared" si="10"/>
        <v>160</v>
      </c>
      <c r="AJ59" s="1">
        <v>3</v>
      </c>
      <c r="AK59">
        <f t="shared" si="11"/>
        <v>6.5822649278013336E-4</v>
      </c>
      <c r="AL59">
        <v>71.182777000000002</v>
      </c>
      <c r="AM59">
        <f t="shared" si="12"/>
        <v>10.814328772964949</v>
      </c>
    </row>
    <row r="60" spans="1:39" x14ac:dyDescent="0.2">
      <c r="A60" s="11" t="s">
        <v>59</v>
      </c>
      <c r="B60" s="8">
        <v>320</v>
      </c>
      <c r="C60" s="8">
        <v>160</v>
      </c>
      <c r="D60" s="8">
        <v>300</v>
      </c>
      <c r="E60" s="8">
        <v>150</v>
      </c>
      <c r="F60" s="8">
        <v>6</v>
      </c>
      <c r="G60" s="9">
        <v>7.0870000000000004E-4</v>
      </c>
      <c r="H60" s="9"/>
      <c r="I60" s="9"/>
      <c r="K60" s="1" t="s">
        <v>98</v>
      </c>
      <c r="L60" s="4">
        <v>263</v>
      </c>
      <c r="M60" s="1">
        <f t="shared" si="1"/>
        <v>131.5</v>
      </c>
      <c r="N60" s="4">
        <v>240</v>
      </c>
      <c r="O60" s="1">
        <f t="shared" si="2"/>
        <v>120</v>
      </c>
      <c r="P60" s="1">
        <v>6</v>
      </c>
      <c r="Q60">
        <f t="shared" si="3"/>
        <v>4.659987214922812E-4</v>
      </c>
      <c r="R60">
        <v>51.895361000000001</v>
      </c>
      <c r="S60">
        <f t="shared" si="4"/>
        <v>11.136374115751645</v>
      </c>
      <c r="U60" s="1" t="s">
        <v>58</v>
      </c>
      <c r="V60" s="4">
        <v>263</v>
      </c>
      <c r="W60" s="4">
        <f t="shared" si="5"/>
        <v>131.5</v>
      </c>
      <c r="X60" s="4">
        <v>240</v>
      </c>
      <c r="Y60" s="4">
        <f t="shared" si="6"/>
        <v>120</v>
      </c>
      <c r="Z60" s="1">
        <v>8</v>
      </c>
      <c r="AA60">
        <f t="shared" si="7"/>
        <v>4.5608385507755187E-4</v>
      </c>
      <c r="AB60" s="6">
        <v>103.5296</v>
      </c>
      <c r="AC60">
        <f t="shared" si="8"/>
        <v>22.699685342379851</v>
      </c>
      <c r="AE60" s="1" t="s">
        <v>99</v>
      </c>
      <c r="AF60" s="4">
        <v>320</v>
      </c>
      <c r="AG60" s="4">
        <f t="shared" si="9"/>
        <v>160</v>
      </c>
      <c r="AH60" s="4">
        <v>300</v>
      </c>
      <c r="AI60" s="4">
        <f t="shared" si="10"/>
        <v>150</v>
      </c>
      <c r="AJ60" s="1">
        <v>10</v>
      </c>
      <c r="AK60">
        <f t="shared" si="11"/>
        <v>6.7858401317539532E-4</v>
      </c>
      <c r="AL60">
        <v>86.168625000000006</v>
      </c>
      <c r="AM60">
        <f t="shared" si="12"/>
        <v>12.698298711279511</v>
      </c>
    </row>
    <row r="61" spans="1:39" x14ac:dyDescent="0.2">
      <c r="A61" s="11" t="s">
        <v>60</v>
      </c>
      <c r="B61" s="8">
        <v>310</v>
      </c>
      <c r="C61" s="8">
        <v>155</v>
      </c>
      <c r="D61" s="8">
        <v>310</v>
      </c>
      <c r="E61" s="8">
        <v>155</v>
      </c>
      <c r="F61" s="8">
        <v>2</v>
      </c>
      <c r="G61" s="9">
        <v>7.3970000000000004E-4</v>
      </c>
      <c r="H61" s="9"/>
      <c r="I61" s="9"/>
      <c r="K61" s="1" t="s">
        <v>99</v>
      </c>
      <c r="L61" s="4">
        <v>263</v>
      </c>
      <c r="M61" s="1">
        <f t="shared" si="1"/>
        <v>131.5</v>
      </c>
      <c r="N61" s="4">
        <v>240</v>
      </c>
      <c r="O61" s="1">
        <f t="shared" si="2"/>
        <v>120</v>
      </c>
      <c r="P61" s="1">
        <v>3</v>
      </c>
      <c r="Q61">
        <f t="shared" si="3"/>
        <v>4.8087102111437534E-4</v>
      </c>
      <c r="R61">
        <v>126.152418</v>
      </c>
      <c r="S61">
        <f t="shared" si="4"/>
        <v>26.234148547286779</v>
      </c>
      <c r="U61" s="1" t="s">
        <v>124</v>
      </c>
      <c r="V61" s="4">
        <v>263</v>
      </c>
      <c r="W61" s="4">
        <f t="shared" si="5"/>
        <v>131.5</v>
      </c>
      <c r="X61" s="4">
        <v>240</v>
      </c>
      <c r="Y61" s="4">
        <f t="shared" si="6"/>
        <v>120</v>
      </c>
      <c r="Z61" s="1">
        <v>10</v>
      </c>
      <c r="AA61">
        <f t="shared" si="7"/>
        <v>4.4616898866282244E-4</v>
      </c>
      <c r="AB61" s="6">
        <v>76.840819999999994</v>
      </c>
      <c r="AC61">
        <f t="shared" si="8"/>
        <v>17.222357885135295</v>
      </c>
      <c r="AE61" s="1" t="s">
        <v>125</v>
      </c>
      <c r="AF61" s="4">
        <v>310</v>
      </c>
      <c r="AG61" s="4">
        <f t="shared" si="9"/>
        <v>155</v>
      </c>
      <c r="AH61" s="4">
        <v>310</v>
      </c>
      <c r="AI61" s="4">
        <f t="shared" si="10"/>
        <v>155</v>
      </c>
      <c r="AJ61" s="1">
        <v>15</v>
      </c>
      <c r="AK61">
        <f t="shared" si="11"/>
        <v>6.4155248977120567E-4</v>
      </c>
      <c r="AL61">
        <v>76.998271000000003</v>
      </c>
      <c r="AM61">
        <f t="shared" si="12"/>
        <v>12.00186613373749</v>
      </c>
    </row>
    <row r="62" spans="1:39" x14ac:dyDescent="0.2">
      <c r="A62" s="11" t="s">
        <v>61</v>
      </c>
      <c r="B62" s="8">
        <v>210</v>
      </c>
      <c r="C62" s="8">
        <v>105</v>
      </c>
      <c r="D62" s="8">
        <v>300</v>
      </c>
      <c r="E62" s="8">
        <v>150</v>
      </c>
      <c r="F62" s="8">
        <v>10</v>
      </c>
      <c r="G62" s="9">
        <v>4.4529999999999998E-4</v>
      </c>
      <c r="H62" s="9"/>
      <c r="I62" s="9"/>
      <c r="K62" s="1" t="s">
        <v>63</v>
      </c>
      <c r="L62" s="1">
        <v>270</v>
      </c>
      <c r="M62" s="1">
        <f t="shared" si="1"/>
        <v>135</v>
      </c>
      <c r="N62" s="1">
        <v>200</v>
      </c>
      <c r="O62" s="1">
        <f t="shared" si="2"/>
        <v>100</v>
      </c>
      <c r="P62" s="3">
        <v>20</v>
      </c>
      <c r="Q62">
        <f t="shared" si="3"/>
        <v>3.3929200658769766E-4</v>
      </c>
      <c r="R62">
        <v>61.873142000000001</v>
      </c>
      <c r="S62">
        <f t="shared" si="4"/>
        <v>18.235956285049554</v>
      </c>
      <c r="U62" s="1" t="s">
        <v>98</v>
      </c>
      <c r="V62" s="4">
        <v>270</v>
      </c>
      <c r="W62" s="4">
        <f t="shared" si="5"/>
        <v>135</v>
      </c>
      <c r="X62" s="4">
        <v>200</v>
      </c>
      <c r="Y62" s="4">
        <f t="shared" si="6"/>
        <v>100</v>
      </c>
      <c r="Z62" s="3">
        <v>60</v>
      </c>
      <c r="AA62">
        <f t="shared" si="7"/>
        <v>1.6964600329384883E-4</v>
      </c>
      <c r="AB62" s="6">
        <v>63.370919999999998</v>
      </c>
      <c r="AC62">
        <f t="shared" si="8"/>
        <v>37.354796912152047</v>
      </c>
      <c r="AE62" s="1" t="s">
        <v>142</v>
      </c>
      <c r="AF62" s="4">
        <v>210</v>
      </c>
      <c r="AG62" s="4">
        <f t="shared" si="9"/>
        <v>105</v>
      </c>
      <c r="AH62" s="4">
        <v>300</v>
      </c>
      <c r="AI62" s="4">
        <f t="shared" si="10"/>
        <v>150</v>
      </c>
      <c r="AJ62" s="3">
        <v>50</v>
      </c>
      <c r="AK62">
        <f t="shared" si="11"/>
        <v>2.4740042147019625E-4</v>
      </c>
      <c r="AL62">
        <v>70.490409</v>
      </c>
      <c r="AM62">
        <f>AL62 * 0.0001/AK62</f>
        <v>28.492436909001714</v>
      </c>
    </row>
    <row r="63" spans="1:39" x14ac:dyDescent="0.2">
      <c r="A63" s="11" t="s">
        <v>62</v>
      </c>
      <c r="B63" s="4">
        <v>288</v>
      </c>
      <c r="C63" s="8">
        <v>144</v>
      </c>
      <c r="D63" s="4">
        <v>312</v>
      </c>
      <c r="E63" s="8">
        <v>156</v>
      </c>
      <c r="F63" s="8">
        <v>10</v>
      </c>
      <c r="G63" s="9">
        <v>6.3520000000000004E-4</v>
      </c>
      <c r="H63" s="9"/>
      <c r="I63" s="9"/>
      <c r="K63" s="1" t="s">
        <v>100</v>
      </c>
      <c r="L63" s="1">
        <v>260</v>
      </c>
      <c r="M63" s="1">
        <f t="shared" si="1"/>
        <v>130</v>
      </c>
      <c r="N63" s="1">
        <v>280</v>
      </c>
      <c r="O63" s="1">
        <f t="shared" si="2"/>
        <v>140</v>
      </c>
      <c r="P63" s="1">
        <v>12</v>
      </c>
      <c r="Q63">
        <f t="shared" si="3"/>
        <v>5.0315747939894118E-4</v>
      </c>
      <c r="R63">
        <v>63.776651999999999</v>
      </c>
      <c r="S63">
        <f t="shared" si="4"/>
        <v>12.675286488076443</v>
      </c>
      <c r="U63" s="1" t="s">
        <v>99</v>
      </c>
      <c r="V63" s="4">
        <v>260</v>
      </c>
      <c r="W63" s="4">
        <f t="shared" si="5"/>
        <v>130</v>
      </c>
      <c r="X63" s="4">
        <v>280</v>
      </c>
      <c r="Y63" s="4">
        <f t="shared" si="6"/>
        <v>140</v>
      </c>
      <c r="Z63" s="3">
        <v>45</v>
      </c>
      <c r="AA63">
        <f t="shared" si="7"/>
        <v>3.144734246243383E-4</v>
      </c>
      <c r="AB63" s="6">
        <v>32.852580000000003</v>
      </c>
      <c r="AC63">
        <f t="shared" si="8"/>
        <v>10.446854146497381</v>
      </c>
    </row>
    <row r="64" spans="1:39" x14ac:dyDescent="0.2">
      <c r="A64" s="11" t="s">
        <v>63</v>
      </c>
      <c r="B64" s="8">
        <v>330</v>
      </c>
      <c r="C64" s="8">
        <v>165</v>
      </c>
      <c r="D64" s="8">
        <v>330</v>
      </c>
      <c r="E64" s="8">
        <v>165</v>
      </c>
      <c r="F64" s="8">
        <v>4</v>
      </c>
      <c r="G64" s="9">
        <v>8.2109999999999995E-4</v>
      </c>
      <c r="H64" s="9"/>
      <c r="I64" s="9"/>
      <c r="U64" s="1" t="s">
        <v>125</v>
      </c>
      <c r="V64" s="4">
        <v>260</v>
      </c>
      <c r="W64" s="4">
        <f t="shared" si="5"/>
        <v>130</v>
      </c>
      <c r="X64" s="4">
        <v>280</v>
      </c>
      <c r="Y64" s="4">
        <f t="shared" si="6"/>
        <v>140</v>
      </c>
      <c r="Z64" s="3">
        <v>40</v>
      </c>
      <c r="AA64">
        <f t="shared" si="7"/>
        <v>3.4306191777200539E-4</v>
      </c>
      <c r="AB64" s="6">
        <v>88.615129999999994</v>
      </c>
      <c r="AC64">
        <f t="shared" si="8"/>
        <v>25.830651963792871</v>
      </c>
    </row>
    <row r="65" spans="21:29" x14ac:dyDescent="0.2">
      <c r="U65" s="1" t="s">
        <v>100</v>
      </c>
      <c r="V65" s="4">
        <v>260</v>
      </c>
      <c r="W65" s="4">
        <f t="shared" si="5"/>
        <v>130</v>
      </c>
      <c r="X65" s="4">
        <v>280</v>
      </c>
      <c r="Y65" s="4">
        <f t="shared" si="6"/>
        <v>140</v>
      </c>
      <c r="Z65" s="3">
        <v>85</v>
      </c>
      <c r="AA65">
        <f t="shared" si="7"/>
        <v>8.5765479443001348E-5</v>
      </c>
      <c r="AB65" s="6">
        <v>21.667770000000001</v>
      </c>
      <c r="AC65">
        <f t="shared" si="8"/>
        <v>25.263975833540496</v>
      </c>
    </row>
    <row r="66" spans="21:29" x14ac:dyDescent="0.2">
      <c r="U66" s="1" t="s">
        <v>126</v>
      </c>
      <c r="V66" s="4">
        <v>260</v>
      </c>
      <c r="W66" s="4">
        <f t="shared" si="5"/>
        <v>130</v>
      </c>
      <c r="X66" s="4">
        <v>280</v>
      </c>
      <c r="Y66" s="4">
        <f t="shared" si="6"/>
        <v>140</v>
      </c>
      <c r="Z66" s="3">
        <v>40</v>
      </c>
      <c r="AA66">
        <f t="shared" si="7"/>
        <v>3.4306191777200539E-4</v>
      </c>
      <c r="AB66" s="6">
        <v>27.119029999999999</v>
      </c>
      <c r="AC66">
        <f t="shared" si="8"/>
        <v>7.904995744244327</v>
      </c>
    </row>
  </sheetData>
  <mergeCells count="4">
    <mergeCell ref="A1:G1"/>
    <mergeCell ref="K1:S1"/>
    <mergeCell ref="U1:AC1"/>
    <mergeCell ref="AE1:A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ACD3-039F-444C-BB8C-94C56DF2796E}">
  <dimension ref="A1:AM66"/>
  <sheetViews>
    <sheetView topLeftCell="Z1" zoomScale="90" zoomScaleNormal="90" workbookViewId="0">
      <selection activeCell="AC49" sqref="A49:XFD49"/>
    </sheetView>
  </sheetViews>
  <sheetFormatPr baseColWidth="10" defaultRowHeight="15" x14ac:dyDescent="0.2"/>
  <sheetData>
    <row r="1" spans="1:39" x14ac:dyDescent="0.2">
      <c r="A1" s="13" t="s">
        <v>66</v>
      </c>
      <c r="B1" s="13"/>
      <c r="C1" s="13"/>
      <c r="D1" s="13"/>
      <c r="E1" s="13"/>
      <c r="F1" s="13"/>
      <c r="G1" s="13"/>
      <c r="H1" s="8"/>
      <c r="I1" s="8"/>
      <c r="K1" s="12" t="s">
        <v>69</v>
      </c>
      <c r="L1" s="12"/>
      <c r="M1" s="12"/>
      <c r="N1" s="12"/>
      <c r="O1" s="12"/>
      <c r="P1" s="12"/>
      <c r="Q1" s="12"/>
      <c r="R1" s="12"/>
      <c r="S1" s="12"/>
      <c r="U1" s="12" t="s">
        <v>102</v>
      </c>
      <c r="V1" s="12"/>
      <c r="W1" s="12"/>
      <c r="X1" s="12"/>
      <c r="Y1" s="12"/>
      <c r="Z1" s="12"/>
      <c r="AA1" s="12"/>
      <c r="AB1" s="12"/>
      <c r="AC1" s="12"/>
      <c r="AE1" s="12" t="s">
        <v>103</v>
      </c>
      <c r="AF1" s="12"/>
      <c r="AG1" s="12"/>
      <c r="AH1" s="12"/>
      <c r="AI1" s="12"/>
      <c r="AJ1" s="12"/>
      <c r="AK1" s="12"/>
      <c r="AL1" s="12"/>
      <c r="AM1" s="12"/>
    </row>
    <row r="2" spans="1:39" x14ac:dyDescent="0.2">
      <c r="A2" s="10" t="s">
        <v>67</v>
      </c>
      <c r="B2" s="10" t="s">
        <v>64</v>
      </c>
      <c r="C2" s="10" t="s">
        <v>145</v>
      </c>
      <c r="D2" s="10" t="s">
        <v>65</v>
      </c>
      <c r="E2" s="10" t="s">
        <v>146</v>
      </c>
      <c r="F2" s="10" t="s">
        <v>0</v>
      </c>
      <c r="G2" s="10" t="s">
        <v>147</v>
      </c>
      <c r="H2" s="10" t="s">
        <v>149</v>
      </c>
      <c r="I2" s="10" t="s">
        <v>148</v>
      </c>
      <c r="K2" s="2" t="s">
        <v>70</v>
      </c>
      <c r="L2" s="2" t="s">
        <v>68</v>
      </c>
      <c r="M2" s="2" t="s">
        <v>145</v>
      </c>
      <c r="N2" s="2" t="s">
        <v>65</v>
      </c>
      <c r="O2" s="2" t="s">
        <v>146</v>
      </c>
      <c r="P2" s="2" t="s">
        <v>0</v>
      </c>
      <c r="Q2" s="2" t="s">
        <v>147</v>
      </c>
      <c r="R2" s="2" t="s">
        <v>149</v>
      </c>
      <c r="S2" s="2" t="s">
        <v>1</v>
      </c>
      <c r="U2" s="2" t="s">
        <v>70</v>
      </c>
      <c r="V2" s="5" t="s">
        <v>68</v>
      </c>
      <c r="W2" s="5" t="s">
        <v>145</v>
      </c>
      <c r="X2" s="5" t="s">
        <v>65</v>
      </c>
      <c r="Y2" s="5" t="s">
        <v>146</v>
      </c>
      <c r="Z2" s="2" t="s">
        <v>0</v>
      </c>
      <c r="AA2" s="2" t="s">
        <v>147</v>
      </c>
      <c r="AB2" s="2" t="s">
        <v>149</v>
      </c>
      <c r="AC2" s="2" t="s">
        <v>1</v>
      </c>
      <c r="AE2" s="2" t="s">
        <v>70</v>
      </c>
      <c r="AF2" s="5" t="s">
        <v>64</v>
      </c>
      <c r="AG2" s="5" t="s">
        <v>145</v>
      </c>
      <c r="AH2" s="5" t="s">
        <v>65</v>
      </c>
      <c r="AI2" s="5" t="s">
        <v>146</v>
      </c>
      <c r="AJ2" s="2" t="s">
        <v>0</v>
      </c>
      <c r="AK2" s="2" t="s">
        <v>147</v>
      </c>
      <c r="AL2" s="2" t="s">
        <v>149</v>
      </c>
      <c r="AM2" s="2" t="s">
        <v>1</v>
      </c>
    </row>
    <row r="3" spans="1:39" x14ac:dyDescent="0.2">
      <c r="A3" s="8" t="s">
        <v>2</v>
      </c>
      <c r="B3" s="8">
        <v>260</v>
      </c>
      <c r="C3" s="8">
        <v>130</v>
      </c>
      <c r="D3" s="8">
        <v>300</v>
      </c>
      <c r="E3" s="8">
        <v>150</v>
      </c>
      <c r="F3" s="8">
        <v>10</v>
      </c>
      <c r="G3" s="9">
        <v>5.5130000000000001E-4</v>
      </c>
      <c r="H3">
        <v>50.839115999999997</v>
      </c>
      <c r="I3" s="9">
        <f>H3*0.0001/G3</f>
        <v>9.2216789406856527</v>
      </c>
      <c r="K3" s="1" t="s">
        <v>2</v>
      </c>
      <c r="L3" s="1">
        <v>240</v>
      </c>
      <c r="M3" s="1">
        <f>L3/2</f>
        <v>120</v>
      </c>
      <c r="N3" s="1">
        <v>240</v>
      </c>
      <c r="O3" s="1">
        <f>N3/2</f>
        <v>120</v>
      </c>
      <c r="P3" s="1">
        <v>1</v>
      </c>
      <c r="Q3">
        <f>PI()*M3*O3*(1-P3/100)/100000000</f>
        <v>4.4786544869576087E-4</v>
      </c>
      <c r="R3">
        <v>35.369112000000001</v>
      </c>
      <c r="S3">
        <f xml:space="preserve"> R3 * 0.0001/Q3</f>
        <v>7.8972629174675557</v>
      </c>
      <c r="U3" s="7" t="s">
        <v>2</v>
      </c>
      <c r="V3" s="4">
        <v>240</v>
      </c>
      <c r="W3" s="4">
        <f>V3/2</f>
        <v>120</v>
      </c>
      <c r="X3" s="4">
        <v>240</v>
      </c>
      <c r="Y3" s="4">
        <f>X3/2</f>
        <v>120</v>
      </c>
      <c r="Z3" s="1">
        <v>10</v>
      </c>
      <c r="AA3">
        <f>PI()*W3*Y3*(1-Z3/100)/100000000</f>
        <v>4.0715040790523721E-4</v>
      </c>
      <c r="AE3" s="1" t="s">
        <v>2</v>
      </c>
      <c r="AF3" s="4">
        <v>260</v>
      </c>
      <c r="AG3" s="4">
        <f>AF3/2</f>
        <v>130</v>
      </c>
      <c r="AH3" s="4">
        <v>300</v>
      </c>
      <c r="AI3" s="4">
        <f>AH3/2</f>
        <v>150</v>
      </c>
      <c r="AJ3" s="1">
        <v>8</v>
      </c>
      <c r="AK3">
        <f>PI()*AG3*AI3*(1-AJ3/100)/100000000</f>
        <v>5.6360172205400887E-4</v>
      </c>
      <c r="AL3">
        <v>70.825604999999996</v>
      </c>
      <c r="AM3">
        <f>AL3 * 0.0001/AK3</f>
        <v>12.566605499692372</v>
      </c>
    </row>
    <row r="4" spans="1:39" x14ac:dyDescent="0.2">
      <c r="A4" s="8" t="s">
        <v>3</v>
      </c>
      <c r="B4" s="8">
        <v>280</v>
      </c>
      <c r="C4" s="8">
        <v>140</v>
      </c>
      <c r="D4" s="8">
        <v>300</v>
      </c>
      <c r="E4" s="8">
        <v>150</v>
      </c>
      <c r="F4" s="8">
        <v>4</v>
      </c>
      <c r="G4" s="9">
        <v>6.3330000000000005E-4</v>
      </c>
      <c r="H4">
        <v>55.736069999999998</v>
      </c>
      <c r="I4" s="9">
        <f t="shared" ref="I4:I59" si="0">H4*0.0001/G4</f>
        <v>8.800895310279488</v>
      </c>
      <c r="K4" s="1" t="s">
        <v>3</v>
      </c>
      <c r="L4" s="1">
        <v>240</v>
      </c>
      <c r="M4" s="1">
        <f t="shared" ref="M4:M63" si="1">L4/2</f>
        <v>120</v>
      </c>
      <c r="N4" s="1">
        <v>240</v>
      </c>
      <c r="O4" s="1">
        <f t="shared" ref="O4:O63" si="2">N4/2</f>
        <v>120</v>
      </c>
      <c r="P4" s="1">
        <v>0</v>
      </c>
      <c r="Q4">
        <f t="shared" ref="Q4:Q63" si="3">PI()*M4*O4*(1-P4/100)/100000000</f>
        <v>4.523893421169302E-4</v>
      </c>
      <c r="R4">
        <v>34.704656</v>
      </c>
      <c r="S4">
        <f t="shared" ref="S4:S63" si="4" xml:space="preserve"> R4 * 0.0001/Q4</f>
        <v>7.6714132648663949</v>
      </c>
      <c r="U4" s="1" t="s">
        <v>3</v>
      </c>
      <c r="V4" s="4">
        <v>240</v>
      </c>
      <c r="W4" s="4">
        <f t="shared" ref="W4:W66" si="5">V4/2</f>
        <v>120</v>
      </c>
      <c r="X4" s="4">
        <v>240</v>
      </c>
      <c r="Y4" s="4">
        <f t="shared" ref="Y4:Y66" si="6">X4/2</f>
        <v>120</v>
      </c>
      <c r="Z4" s="1">
        <v>8</v>
      </c>
      <c r="AA4">
        <f t="shared" ref="AA4:AA66" si="7">PI()*W4*Y4*(1-Z4/100)/100000000</f>
        <v>4.1619819474757582E-4</v>
      </c>
      <c r="AB4">
        <v>88.973460000000003</v>
      </c>
      <c r="AC4">
        <f t="shared" ref="AC3:AC66" si="8">AB4* 0.0001/AA4</f>
        <v>21.377666006927878</v>
      </c>
      <c r="AE4" s="1" t="s">
        <v>4</v>
      </c>
      <c r="AF4" s="4">
        <v>280</v>
      </c>
      <c r="AG4" s="4">
        <f t="shared" ref="AG4:AG62" si="9">AF4/2</f>
        <v>140</v>
      </c>
      <c r="AH4" s="4">
        <v>300</v>
      </c>
      <c r="AI4" s="4">
        <f t="shared" ref="AI4:AI62" si="10">AH4/2</f>
        <v>150</v>
      </c>
      <c r="AJ4" s="1">
        <v>15</v>
      </c>
      <c r="AK4">
        <f t="shared" ref="AK4:AK62" si="11">PI()*AG4*AI4*(1-AJ4/100)/100000000</f>
        <v>5.6077428866577802E-4</v>
      </c>
      <c r="AL4">
        <v>54.301572</v>
      </c>
      <c r="AM4">
        <f t="shared" ref="AM4:AM61" si="12">AL4 * 0.0001/AK4</f>
        <v>9.6833205618604588</v>
      </c>
    </row>
    <row r="5" spans="1:39" x14ac:dyDescent="0.2">
      <c r="A5" s="8" t="s">
        <v>4</v>
      </c>
      <c r="B5" s="8">
        <v>290</v>
      </c>
      <c r="C5" s="8">
        <v>145</v>
      </c>
      <c r="D5" s="8">
        <v>300</v>
      </c>
      <c r="E5" s="8">
        <v>150</v>
      </c>
      <c r="F5" s="8">
        <v>1</v>
      </c>
      <c r="G5" s="9">
        <v>6.7650000000000002E-4</v>
      </c>
      <c r="H5">
        <v>59.549867999999996</v>
      </c>
      <c r="I5" s="9">
        <f t="shared" si="0"/>
        <v>8.8026412416851443</v>
      </c>
      <c r="K5" s="1" t="s">
        <v>71</v>
      </c>
      <c r="L5" s="1">
        <v>240</v>
      </c>
      <c r="M5" s="1">
        <f t="shared" si="1"/>
        <v>120</v>
      </c>
      <c r="N5" s="1">
        <v>240</v>
      </c>
      <c r="O5" s="1">
        <f t="shared" si="2"/>
        <v>120</v>
      </c>
      <c r="P5" s="1">
        <v>1</v>
      </c>
      <c r="Q5">
        <f t="shared" si="3"/>
        <v>4.4786544869576087E-4</v>
      </c>
      <c r="R5">
        <v>33.912768999999997</v>
      </c>
      <c r="S5">
        <f t="shared" si="4"/>
        <v>7.5720886928782161</v>
      </c>
      <c r="U5" s="1" t="s">
        <v>71</v>
      </c>
      <c r="V5" s="4">
        <v>240</v>
      </c>
      <c r="W5" s="4">
        <f t="shared" si="5"/>
        <v>120</v>
      </c>
      <c r="X5" s="4">
        <v>240</v>
      </c>
      <c r="Y5" s="4">
        <f t="shared" si="6"/>
        <v>120</v>
      </c>
      <c r="Z5" s="3">
        <v>50</v>
      </c>
      <c r="AA5">
        <f t="shared" si="7"/>
        <v>2.261946710584651E-4</v>
      </c>
      <c r="AB5">
        <v>75.294758000000002</v>
      </c>
      <c r="AC5">
        <f t="shared" si="8"/>
        <v>33.287591457244531</v>
      </c>
      <c r="AE5" s="1" t="s">
        <v>127</v>
      </c>
      <c r="AF5" s="4">
        <v>290</v>
      </c>
      <c r="AG5" s="4">
        <f t="shared" si="9"/>
        <v>145</v>
      </c>
      <c r="AH5" s="4">
        <v>300</v>
      </c>
      <c r="AI5" s="4">
        <f t="shared" si="10"/>
        <v>150</v>
      </c>
      <c r="AJ5" s="1">
        <v>9</v>
      </c>
      <c r="AK5">
        <f t="shared" si="11"/>
        <v>6.2179972596175981E-4</v>
      </c>
      <c r="AL5">
        <v>51.723844999999997</v>
      </c>
      <c r="AM5">
        <f t="shared" si="12"/>
        <v>8.3184091019012403</v>
      </c>
    </row>
    <row r="6" spans="1:39" x14ac:dyDescent="0.2">
      <c r="A6" s="8" t="s">
        <v>5</v>
      </c>
      <c r="B6" s="4">
        <v>277</v>
      </c>
      <c r="C6" s="8">
        <v>138.5</v>
      </c>
      <c r="D6" s="4">
        <v>300</v>
      </c>
      <c r="E6" s="8">
        <v>150</v>
      </c>
      <c r="F6" s="8">
        <v>30</v>
      </c>
      <c r="G6" s="9">
        <v>4.5689999999999999E-4</v>
      </c>
      <c r="H6">
        <v>58.990997</v>
      </c>
      <c r="I6" s="9">
        <f t="shared" si="0"/>
        <v>12.911139636681987</v>
      </c>
      <c r="K6" s="1" t="s">
        <v>4</v>
      </c>
      <c r="L6" s="4">
        <v>238</v>
      </c>
      <c r="M6" s="1">
        <f t="shared" si="1"/>
        <v>119</v>
      </c>
      <c r="N6" s="4">
        <v>238</v>
      </c>
      <c r="O6" s="1">
        <f t="shared" si="2"/>
        <v>119</v>
      </c>
      <c r="P6" s="1">
        <v>3</v>
      </c>
      <c r="Q6">
        <f t="shared" si="3"/>
        <v>4.3153450760460502E-4</v>
      </c>
      <c r="R6">
        <v>37.792102999999997</v>
      </c>
      <c r="S6">
        <f t="shared" si="4"/>
        <v>8.757608565252248</v>
      </c>
      <c r="U6" s="1" t="s">
        <v>4</v>
      </c>
      <c r="V6" s="4">
        <v>238</v>
      </c>
      <c r="W6" s="4">
        <f t="shared" si="5"/>
        <v>119</v>
      </c>
      <c r="X6" s="4">
        <v>238</v>
      </c>
      <c r="Y6" s="4">
        <f t="shared" si="6"/>
        <v>119</v>
      </c>
      <c r="Z6" s="3">
        <v>10</v>
      </c>
      <c r="AA6">
        <f t="shared" si="7"/>
        <v>4.0039284210736551E-4</v>
      </c>
      <c r="AB6">
        <v>68.114986000000002</v>
      </c>
      <c r="AC6">
        <f t="shared" si="8"/>
        <v>17.012038886982634</v>
      </c>
      <c r="AE6" s="1" t="s">
        <v>6</v>
      </c>
      <c r="AF6" s="4">
        <v>277</v>
      </c>
      <c r="AG6" s="4">
        <f t="shared" si="9"/>
        <v>138.5</v>
      </c>
      <c r="AH6" s="4">
        <v>300</v>
      </c>
      <c r="AI6" s="4">
        <f t="shared" si="10"/>
        <v>150</v>
      </c>
      <c r="AJ6" s="1">
        <v>2</v>
      </c>
      <c r="AK6">
        <f t="shared" si="11"/>
        <v>6.3961255630761392E-4</v>
      </c>
      <c r="AL6">
        <v>47.580548999999998</v>
      </c>
      <c r="AM6">
        <f t="shared" si="12"/>
        <v>7.4389641871127861</v>
      </c>
    </row>
    <row r="7" spans="1:39" x14ac:dyDescent="0.2">
      <c r="A7" s="8" t="s">
        <v>6</v>
      </c>
      <c r="B7" s="4">
        <v>277</v>
      </c>
      <c r="C7" s="8">
        <v>138.5</v>
      </c>
      <c r="D7" s="4">
        <v>300</v>
      </c>
      <c r="E7" s="8">
        <v>150</v>
      </c>
      <c r="F7" s="8">
        <v>20</v>
      </c>
      <c r="G7" s="9">
        <v>5.2209999999999995E-4</v>
      </c>
      <c r="H7">
        <v>52.903483000000001</v>
      </c>
      <c r="I7" s="9">
        <f t="shared" si="0"/>
        <v>10.132825703888146</v>
      </c>
      <c r="K7" s="1" t="s">
        <v>5</v>
      </c>
      <c r="L7" s="1">
        <v>230</v>
      </c>
      <c r="M7" s="1">
        <f t="shared" si="1"/>
        <v>115</v>
      </c>
      <c r="N7" s="1">
        <v>230</v>
      </c>
      <c r="O7" s="1">
        <f t="shared" si="2"/>
        <v>115</v>
      </c>
      <c r="P7" s="1">
        <v>1</v>
      </c>
      <c r="Q7">
        <f t="shared" si="3"/>
        <v>4.1132087215287771E-4</v>
      </c>
      <c r="R7">
        <v>38.101576000000001</v>
      </c>
      <c r="S7">
        <f t="shared" si="4"/>
        <v>9.2632245479238886</v>
      </c>
      <c r="U7" s="1" t="s">
        <v>5</v>
      </c>
      <c r="V7" s="4">
        <v>230</v>
      </c>
      <c r="W7" s="4">
        <f t="shared" si="5"/>
        <v>115</v>
      </c>
      <c r="X7" s="4">
        <v>230</v>
      </c>
      <c r="Y7" s="4">
        <f t="shared" si="6"/>
        <v>115</v>
      </c>
      <c r="Z7" s="1">
        <v>6</v>
      </c>
      <c r="AA7">
        <f t="shared" si="7"/>
        <v>3.9054709073101519E-4</v>
      </c>
      <c r="AB7">
        <v>48.357872</v>
      </c>
      <c r="AC7">
        <f t="shared" si="8"/>
        <v>12.38208481069084</v>
      </c>
      <c r="AE7" s="1" t="s">
        <v>128</v>
      </c>
      <c r="AF7" s="4">
        <v>277</v>
      </c>
      <c r="AG7" s="4">
        <f t="shared" si="9"/>
        <v>138.5</v>
      </c>
      <c r="AH7" s="4">
        <v>300</v>
      </c>
      <c r="AI7" s="4">
        <f t="shared" si="10"/>
        <v>150</v>
      </c>
      <c r="AJ7" s="3">
        <v>35</v>
      </c>
      <c r="AK7">
        <f t="shared" si="11"/>
        <v>4.2423281795913171E-4</v>
      </c>
      <c r="AL7">
        <v>61.581467000000004</v>
      </c>
      <c r="AM7">
        <f t="shared" si="12"/>
        <v>14.515960197575387</v>
      </c>
    </row>
    <row r="8" spans="1:39" x14ac:dyDescent="0.2">
      <c r="A8" s="8" t="s">
        <v>7</v>
      </c>
      <c r="B8" s="4">
        <v>277</v>
      </c>
      <c r="C8" s="8">
        <v>138.5</v>
      </c>
      <c r="D8" s="4">
        <v>300</v>
      </c>
      <c r="E8" s="8">
        <v>150</v>
      </c>
      <c r="F8" s="8">
        <v>50</v>
      </c>
      <c r="G8" s="9">
        <v>3.2630000000000002E-4</v>
      </c>
      <c r="H8">
        <v>58.164521999999998</v>
      </c>
      <c r="I8" s="9">
        <f t="shared" si="0"/>
        <v>17.825474103585655</v>
      </c>
      <c r="K8" s="1" t="s">
        <v>7</v>
      </c>
      <c r="L8" s="1">
        <v>240</v>
      </c>
      <c r="M8" s="1">
        <f t="shared" si="1"/>
        <v>120</v>
      </c>
      <c r="N8" s="1">
        <v>260</v>
      </c>
      <c r="O8" s="1">
        <f t="shared" si="2"/>
        <v>130</v>
      </c>
      <c r="P8" s="1">
        <v>1</v>
      </c>
      <c r="Q8">
        <f t="shared" si="3"/>
        <v>4.8518756942040762E-4</v>
      </c>
      <c r="R8">
        <v>46.522880000000001</v>
      </c>
      <c r="S8">
        <f t="shared" si="4"/>
        <v>9.5886380715761153</v>
      </c>
      <c r="U8" s="1" t="s">
        <v>6</v>
      </c>
      <c r="V8" s="4">
        <v>240</v>
      </c>
      <c r="W8" s="4">
        <f t="shared" si="5"/>
        <v>120</v>
      </c>
      <c r="X8" s="4">
        <v>260</v>
      </c>
      <c r="Y8" s="4">
        <f t="shared" si="6"/>
        <v>130</v>
      </c>
      <c r="Z8" s="1">
        <v>3</v>
      </c>
      <c r="AA8">
        <f t="shared" si="7"/>
        <v>4.7538580034120741E-4</v>
      </c>
      <c r="AB8">
        <v>41.898989999999998</v>
      </c>
      <c r="AC8">
        <f t="shared" si="8"/>
        <v>8.8136814288367624</v>
      </c>
      <c r="AE8" s="1" t="s">
        <v>129</v>
      </c>
      <c r="AF8" s="4">
        <v>277</v>
      </c>
      <c r="AG8" s="4">
        <f t="shared" si="9"/>
        <v>138.5</v>
      </c>
      <c r="AH8" s="4">
        <v>300</v>
      </c>
      <c r="AI8" s="4">
        <f t="shared" si="10"/>
        <v>150</v>
      </c>
      <c r="AJ8" s="3">
        <v>80</v>
      </c>
      <c r="AK8">
        <f t="shared" si="11"/>
        <v>1.3053317475665587E-4</v>
      </c>
      <c r="AL8">
        <v>61.778072999999999</v>
      </c>
      <c r="AM8">
        <f t="shared" si="12"/>
        <v>47.327488291898717</v>
      </c>
    </row>
    <row r="9" spans="1:39" x14ac:dyDescent="0.2">
      <c r="A9" s="8" t="s">
        <v>8</v>
      </c>
      <c r="B9" s="4">
        <v>277</v>
      </c>
      <c r="C9" s="8">
        <v>138.5</v>
      </c>
      <c r="D9" s="4">
        <v>300</v>
      </c>
      <c r="E9" s="8">
        <v>150</v>
      </c>
      <c r="F9" s="8">
        <v>10</v>
      </c>
      <c r="G9" s="9">
        <v>5.8739999999999997E-4</v>
      </c>
      <c r="H9">
        <v>70.603511999999995</v>
      </c>
      <c r="I9" s="9">
        <f t="shared" si="0"/>
        <v>12.019664964249234</v>
      </c>
      <c r="K9" s="1" t="s">
        <v>72</v>
      </c>
      <c r="L9" s="4">
        <v>240</v>
      </c>
      <c r="M9" s="1">
        <f t="shared" si="1"/>
        <v>120</v>
      </c>
      <c r="N9" s="4">
        <v>240</v>
      </c>
      <c r="O9" s="1">
        <f t="shared" si="2"/>
        <v>120</v>
      </c>
      <c r="P9" s="1">
        <v>0</v>
      </c>
      <c r="Q9">
        <f t="shared" si="3"/>
        <v>4.523893421169302E-4</v>
      </c>
      <c r="R9">
        <v>39.135579</v>
      </c>
      <c r="S9">
        <f t="shared" si="4"/>
        <v>8.6508622897407985</v>
      </c>
      <c r="U9" s="1" t="s">
        <v>7</v>
      </c>
      <c r="V9" s="4">
        <v>240</v>
      </c>
      <c r="W9" s="4">
        <f t="shared" si="5"/>
        <v>120</v>
      </c>
      <c r="X9" s="4">
        <v>240</v>
      </c>
      <c r="Y9" s="4">
        <f t="shared" si="6"/>
        <v>120</v>
      </c>
      <c r="Z9" s="1">
        <v>1</v>
      </c>
      <c r="AA9">
        <f t="shared" si="7"/>
        <v>4.4786544869576087E-4</v>
      </c>
      <c r="AB9">
        <v>36.099103999999997</v>
      </c>
      <c r="AC9">
        <f t="shared" si="8"/>
        <v>8.0602565134517565</v>
      </c>
      <c r="AE9" s="1" t="s">
        <v>130</v>
      </c>
      <c r="AF9" s="4">
        <v>277</v>
      </c>
      <c r="AG9" s="4">
        <f t="shared" si="9"/>
        <v>138.5</v>
      </c>
      <c r="AH9" s="4">
        <v>300</v>
      </c>
      <c r="AI9" s="4">
        <f t="shared" si="10"/>
        <v>150</v>
      </c>
      <c r="AJ9" s="1">
        <v>1</v>
      </c>
      <c r="AK9">
        <f t="shared" si="11"/>
        <v>6.4613921504544673E-4</v>
      </c>
      <c r="AL9">
        <v>53.167445000000001</v>
      </c>
      <c r="AM9">
        <f t="shared" si="12"/>
        <v>8.2284813801713668</v>
      </c>
    </row>
    <row r="10" spans="1:39" x14ac:dyDescent="0.2">
      <c r="A10" s="8" t="s">
        <v>9</v>
      </c>
      <c r="B10" s="4">
        <v>277</v>
      </c>
      <c r="C10" s="8">
        <v>138.5</v>
      </c>
      <c r="D10" s="4">
        <v>300</v>
      </c>
      <c r="E10" s="8">
        <v>150</v>
      </c>
      <c r="F10" s="8">
        <v>30</v>
      </c>
      <c r="G10" s="9">
        <v>4.5689999999999999E-4</v>
      </c>
      <c r="H10">
        <v>72.376609999999999</v>
      </c>
      <c r="I10" s="9">
        <f t="shared" si="0"/>
        <v>15.840798861895383</v>
      </c>
      <c r="K10" s="1" t="s">
        <v>73</v>
      </c>
      <c r="L10" s="1">
        <v>240</v>
      </c>
      <c r="M10" s="1">
        <f t="shared" si="1"/>
        <v>120</v>
      </c>
      <c r="N10" s="1">
        <v>240</v>
      </c>
      <c r="O10" s="1">
        <f t="shared" si="2"/>
        <v>120</v>
      </c>
      <c r="P10" s="1">
        <v>6</v>
      </c>
      <c r="Q10">
        <f t="shared" si="3"/>
        <v>4.2524598158991437E-4</v>
      </c>
      <c r="R10">
        <v>43.874155999999999</v>
      </c>
      <c r="S10">
        <f t="shared" si="4"/>
        <v>10.317359340107769</v>
      </c>
      <c r="U10" s="1" t="s">
        <v>72</v>
      </c>
      <c r="V10" s="4">
        <v>240</v>
      </c>
      <c r="W10" s="4">
        <f t="shared" si="5"/>
        <v>120</v>
      </c>
      <c r="X10" s="4">
        <v>240</v>
      </c>
      <c r="Y10" s="4">
        <f t="shared" si="6"/>
        <v>120</v>
      </c>
      <c r="Z10" s="3">
        <v>15</v>
      </c>
      <c r="AA10">
        <f t="shared" si="7"/>
        <v>3.8453094079939066E-4</v>
      </c>
      <c r="AB10">
        <v>59.325955999999998</v>
      </c>
      <c r="AC10">
        <f t="shared" si="8"/>
        <v>15.428135867732497</v>
      </c>
      <c r="AE10" s="1" t="s">
        <v>10</v>
      </c>
      <c r="AF10" s="4">
        <v>277</v>
      </c>
      <c r="AG10" s="4">
        <f t="shared" si="9"/>
        <v>138.5</v>
      </c>
      <c r="AH10" s="4">
        <v>300</v>
      </c>
      <c r="AI10" s="4">
        <f t="shared" si="10"/>
        <v>150</v>
      </c>
      <c r="AJ10" s="3">
        <v>10</v>
      </c>
      <c r="AK10">
        <f t="shared" si="11"/>
        <v>5.8739928640495157E-4</v>
      </c>
      <c r="AL10">
        <v>69.574969999999993</v>
      </c>
      <c r="AM10">
        <f t="shared" si="12"/>
        <v>11.844578570365369</v>
      </c>
    </row>
    <row r="11" spans="1:39" x14ac:dyDescent="0.2">
      <c r="A11" s="8" t="s">
        <v>10</v>
      </c>
      <c r="B11" s="8">
        <v>300</v>
      </c>
      <c r="C11" s="8">
        <v>150</v>
      </c>
      <c r="D11" s="8">
        <v>340</v>
      </c>
      <c r="E11" s="8">
        <v>170</v>
      </c>
      <c r="F11" s="8">
        <v>2</v>
      </c>
      <c r="G11" s="9">
        <v>7.8509999999999995E-4</v>
      </c>
      <c r="H11">
        <v>43.298900000000003</v>
      </c>
      <c r="I11" s="9">
        <f t="shared" si="0"/>
        <v>5.515080881416381</v>
      </c>
      <c r="K11" s="1" t="s">
        <v>10</v>
      </c>
      <c r="L11" s="1">
        <v>240</v>
      </c>
      <c r="M11" s="1">
        <f t="shared" si="1"/>
        <v>120</v>
      </c>
      <c r="N11" s="1">
        <v>230</v>
      </c>
      <c r="O11" s="1">
        <f t="shared" si="2"/>
        <v>115</v>
      </c>
      <c r="P11" s="1">
        <v>6</v>
      </c>
      <c r="Q11">
        <f t="shared" si="3"/>
        <v>4.0752739902366787E-4</v>
      </c>
      <c r="R11">
        <v>43.062244</v>
      </c>
      <c r="S11">
        <f t="shared" si="4"/>
        <v>10.566711367914452</v>
      </c>
      <c r="U11" s="1" t="s">
        <v>10</v>
      </c>
      <c r="V11" s="4">
        <v>240</v>
      </c>
      <c r="W11" s="4">
        <f t="shared" si="5"/>
        <v>120</v>
      </c>
      <c r="X11" s="4">
        <v>230</v>
      </c>
      <c r="Y11" s="4">
        <f t="shared" si="6"/>
        <v>115</v>
      </c>
      <c r="Z11" s="1">
        <v>5</v>
      </c>
      <c r="AA11">
        <f t="shared" si="7"/>
        <v>4.1186279688562187E-4</v>
      </c>
      <c r="AB11">
        <v>110.356217</v>
      </c>
      <c r="AC11">
        <f t="shared" si="8"/>
        <v>26.794412565174454</v>
      </c>
      <c r="AE11" s="1" t="s">
        <v>11</v>
      </c>
      <c r="AF11" s="4">
        <v>300</v>
      </c>
      <c r="AG11" s="4">
        <f t="shared" si="9"/>
        <v>150</v>
      </c>
      <c r="AH11" s="4">
        <v>340</v>
      </c>
      <c r="AI11" s="4">
        <f t="shared" si="10"/>
        <v>170</v>
      </c>
      <c r="AJ11" s="1">
        <v>0</v>
      </c>
      <c r="AK11">
        <f t="shared" si="11"/>
        <v>8.0110612666539713E-4</v>
      </c>
      <c r="AL11">
        <v>66.946270999999996</v>
      </c>
      <c r="AM11">
        <f t="shared" si="12"/>
        <v>8.3567293735055728</v>
      </c>
    </row>
    <row r="12" spans="1:39" x14ac:dyDescent="0.2">
      <c r="A12" s="14" t="s">
        <v>11</v>
      </c>
      <c r="B12" s="4">
        <v>330</v>
      </c>
      <c r="C12" s="8">
        <v>165</v>
      </c>
      <c r="D12" s="4">
        <v>354</v>
      </c>
      <c r="E12" s="8">
        <v>177</v>
      </c>
      <c r="F12" s="8">
        <v>0</v>
      </c>
      <c r="G12" s="9">
        <v>9.1750000000000002E-4</v>
      </c>
      <c r="H12">
        <v>78.671653000000006</v>
      </c>
      <c r="I12" s="9">
        <f t="shared" si="0"/>
        <v>8.5745670844686668</v>
      </c>
      <c r="K12" s="1" t="s">
        <v>11</v>
      </c>
      <c r="L12" s="4">
        <v>240</v>
      </c>
      <c r="M12" s="1">
        <f t="shared" si="1"/>
        <v>120</v>
      </c>
      <c r="N12" s="4">
        <v>230</v>
      </c>
      <c r="O12" s="1">
        <f t="shared" si="2"/>
        <v>115</v>
      </c>
      <c r="P12" s="1">
        <v>1</v>
      </c>
      <c r="Q12">
        <f t="shared" si="3"/>
        <v>4.2920438833343754E-4</v>
      </c>
      <c r="R12">
        <v>42.117441999999997</v>
      </c>
      <c r="S12">
        <f t="shared" si="4"/>
        <v>9.8129103860140567</v>
      </c>
      <c r="U12" s="1" t="s">
        <v>12</v>
      </c>
      <c r="V12" s="4">
        <v>240</v>
      </c>
      <c r="W12" s="4">
        <f t="shared" si="5"/>
        <v>120</v>
      </c>
      <c r="X12" s="4">
        <v>230</v>
      </c>
      <c r="Y12" s="4">
        <f t="shared" si="6"/>
        <v>115</v>
      </c>
      <c r="Z12" s="3">
        <v>40</v>
      </c>
      <c r="AA12">
        <f t="shared" si="7"/>
        <v>2.6012387171723482E-4</v>
      </c>
      <c r="AB12">
        <v>77.257180000000005</v>
      </c>
      <c r="AC12">
        <f t="shared" si="8"/>
        <v>29.700149967005604</v>
      </c>
      <c r="AE12" s="1" t="s">
        <v>13</v>
      </c>
      <c r="AF12" s="4">
        <v>330</v>
      </c>
      <c r="AG12" s="4">
        <f t="shared" si="9"/>
        <v>165</v>
      </c>
      <c r="AH12" s="4">
        <v>354</v>
      </c>
      <c r="AI12" s="4">
        <f t="shared" si="10"/>
        <v>177</v>
      </c>
      <c r="AJ12" s="3">
        <v>25</v>
      </c>
      <c r="AK12">
        <f t="shared" si="11"/>
        <v>6.8812660086067421E-4</v>
      </c>
      <c r="AL12">
        <v>64.181038999999998</v>
      </c>
      <c r="AM12">
        <f t="shared" si="12"/>
        <v>9.3269231155612324</v>
      </c>
    </row>
    <row r="13" spans="1:39" x14ac:dyDescent="0.2">
      <c r="A13" s="8" t="s">
        <v>12</v>
      </c>
      <c r="B13" s="4">
        <v>330</v>
      </c>
      <c r="C13" s="8">
        <v>165</v>
      </c>
      <c r="D13" s="4">
        <v>354</v>
      </c>
      <c r="E13" s="8">
        <v>177</v>
      </c>
      <c r="F13" s="8">
        <v>1</v>
      </c>
      <c r="G13" s="9">
        <v>9.0830000000000001E-4</v>
      </c>
      <c r="H13">
        <v>81.757279999999994</v>
      </c>
      <c r="I13" s="9">
        <f t="shared" si="0"/>
        <v>9.0011317846526477</v>
      </c>
      <c r="K13" s="1" t="s">
        <v>13</v>
      </c>
      <c r="L13" s="4">
        <v>240</v>
      </c>
      <c r="M13" s="1">
        <f t="shared" si="1"/>
        <v>120</v>
      </c>
      <c r="N13" s="4">
        <v>230</v>
      </c>
      <c r="O13" s="1">
        <f t="shared" si="2"/>
        <v>115</v>
      </c>
      <c r="P13" s="1">
        <v>2</v>
      </c>
      <c r="Q13">
        <f t="shared" si="3"/>
        <v>4.2486899047148354E-4</v>
      </c>
      <c r="R13">
        <v>42.496091</v>
      </c>
      <c r="S13">
        <f t="shared" si="4"/>
        <v>10.00216347934488</v>
      </c>
      <c r="U13" s="1" t="s">
        <v>16</v>
      </c>
      <c r="V13" s="4">
        <v>240</v>
      </c>
      <c r="W13" s="4">
        <f t="shared" si="5"/>
        <v>120</v>
      </c>
      <c r="X13" s="4">
        <v>230</v>
      </c>
      <c r="Y13" s="4">
        <f t="shared" si="6"/>
        <v>115</v>
      </c>
      <c r="Z13" s="1">
        <v>3</v>
      </c>
      <c r="AA13">
        <f t="shared" si="7"/>
        <v>4.2053359260952965E-4</v>
      </c>
      <c r="AB13">
        <v>43.874155999999999</v>
      </c>
      <c r="AC13">
        <f t="shared" si="8"/>
        <v>10.432972958889794</v>
      </c>
      <c r="AE13" s="1" t="s">
        <v>14</v>
      </c>
      <c r="AF13" s="4">
        <v>330</v>
      </c>
      <c r="AG13" s="4">
        <f t="shared" si="9"/>
        <v>165</v>
      </c>
      <c r="AH13" s="4">
        <v>354</v>
      </c>
      <c r="AI13" s="4">
        <f t="shared" si="10"/>
        <v>177</v>
      </c>
      <c r="AJ13" s="3">
        <v>35</v>
      </c>
      <c r="AK13">
        <f t="shared" si="11"/>
        <v>5.9637638741258435E-4</v>
      </c>
      <c r="AL13">
        <v>63.097884000000001</v>
      </c>
      <c r="AM13">
        <f t="shared" si="12"/>
        <v>10.580211646834989</v>
      </c>
    </row>
    <row r="14" spans="1:39" x14ac:dyDescent="0.2">
      <c r="A14" s="8" t="s">
        <v>13</v>
      </c>
      <c r="B14" s="4">
        <v>330</v>
      </c>
      <c r="C14" s="8">
        <v>165</v>
      </c>
      <c r="D14" s="4">
        <v>354</v>
      </c>
      <c r="E14" s="8">
        <v>177</v>
      </c>
      <c r="F14" s="8">
        <v>2</v>
      </c>
      <c r="G14" s="9">
        <v>8.9919999999999996E-4</v>
      </c>
      <c r="H14">
        <v>78.702600000000004</v>
      </c>
      <c r="I14" s="9">
        <f t="shared" si="0"/>
        <v>8.7525133451957302</v>
      </c>
      <c r="K14" s="1" t="s">
        <v>14</v>
      </c>
      <c r="L14" s="4">
        <v>240</v>
      </c>
      <c r="M14" s="1">
        <f t="shared" si="1"/>
        <v>120</v>
      </c>
      <c r="N14" s="4">
        <v>230</v>
      </c>
      <c r="O14" s="1">
        <f t="shared" si="2"/>
        <v>115</v>
      </c>
      <c r="P14" s="1">
        <v>1</v>
      </c>
      <c r="Q14">
        <f t="shared" si="3"/>
        <v>4.2920438833343754E-4</v>
      </c>
      <c r="R14">
        <v>38.292721</v>
      </c>
      <c r="S14">
        <f t="shared" si="4"/>
        <v>8.9217915848174876</v>
      </c>
      <c r="U14" s="1" t="s">
        <v>17</v>
      </c>
      <c r="V14" s="4">
        <v>240</v>
      </c>
      <c r="W14" s="4">
        <f t="shared" si="5"/>
        <v>120</v>
      </c>
      <c r="X14" s="4">
        <v>230</v>
      </c>
      <c r="Y14" s="4">
        <f t="shared" si="6"/>
        <v>115</v>
      </c>
      <c r="Z14" s="3">
        <v>40</v>
      </c>
      <c r="AA14">
        <f t="shared" si="7"/>
        <v>2.6012387171723482E-4</v>
      </c>
      <c r="AB14">
        <v>36.601542000000002</v>
      </c>
      <c r="AC14">
        <f t="shared" si="8"/>
        <v>14.070812401172992</v>
      </c>
      <c r="AE14" s="1" t="s">
        <v>15</v>
      </c>
      <c r="AF14" s="4">
        <v>330</v>
      </c>
      <c r="AG14" s="4">
        <f t="shared" si="9"/>
        <v>165</v>
      </c>
      <c r="AH14" s="4">
        <v>354</v>
      </c>
      <c r="AI14" s="4">
        <f t="shared" si="10"/>
        <v>177</v>
      </c>
      <c r="AJ14" s="1">
        <v>2</v>
      </c>
      <c r="AK14">
        <f t="shared" si="11"/>
        <v>8.9915209179128102E-4</v>
      </c>
      <c r="AL14">
        <v>56.367759</v>
      </c>
      <c r="AM14">
        <f t="shared" si="12"/>
        <v>6.2689904760945128</v>
      </c>
    </row>
    <row r="15" spans="1:39" x14ac:dyDescent="0.2">
      <c r="A15" s="8" t="s">
        <v>14</v>
      </c>
      <c r="B15" s="4">
        <v>330</v>
      </c>
      <c r="C15" s="8">
        <v>165</v>
      </c>
      <c r="D15" s="4">
        <v>354</v>
      </c>
      <c r="E15" s="8">
        <v>177</v>
      </c>
      <c r="F15" s="8">
        <v>20</v>
      </c>
      <c r="G15" s="9">
        <v>7.3399999999999995E-4</v>
      </c>
      <c r="H15">
        <v>78.740829000000005</v>
      </c>
      <c r="I15" s="9">
        <f t="shared" si="0"/>
        <v>10.727633378746596</v>
      </c>
      <c r="K15" s="1" t="s">
        <v>15</v>
      </c>
      <c r="L15" s="1">
        <v>240</v>
      </c>
      <c r="M15" s="1">
        <f t="shared" si="1"/>
        <v>120</v>
      </c>
      <c r="N15" s="1">
        <v>230</v>
      </c>
      <c r="O15" s="1">
        <f t="shared" si="2"/>
        <v>115</v>
      </c>
      <c r="P15" s="1">
        <v>4</v>
      </c>
      <c r="Q15">
        <f t="shared" si="3"/>
        <v>4.1619819474757576E-4</v>
      </c>
      <c r="R15">
        <v>39.246625999999999</v>
      </c>
      <c r="S15">
        <f t="shared" si="4"/>
        <v>9.429792463132399</v>
      </c>
      <c r="U15" s="1" t="s">
        <v>104</v>
      </c>
      <c r="V15" s="4">
        <v>240</v>
      </c>
      <c r="W15" s="4">
        <f t="shared" si="5"/>
        <v>120</v>
      </c>
      <c r="X15" s="4">
        <v>230</v>
      </c>
      <c r="Y15" s="4">
        <f t="shared" si="6"/>
        <v>115</v>
      </c>
      <c r="Z15" s="3">
        <v>22</v>
      </c>
      <c r="AA15">
        <f t="shared" si="7"/>
        <v>3.3816103323240534E-4</v>
      </c>
      <c r="AB15">
        <v>86.413937000000004</v>
      </c>
      <c r="AC15">
        <f t="shared" si="8"/>
        <v>25.554078828654088</v>
      </c>
      <c r="AE15" s="1" t="s">
        <v>16</v>
      </c>
      <c r="AF15" s="4">
        <v>330</v>
      </c>
      <c r="AG15" s="4">
        <f t="shared" si="9"/>
        <v>165</v>
      </c>
      <c r="AH15" s="4">
        <v>354</v>
      </c>
      <c r="AI15" s="4">
        <f t="shared" si="10"/>
        <v>177</v>
      </c>
      <c r="AJ15" s="1">
        <v>4</v>
      </c>
      <c r="AK15">
        <f t="shared" si="11"/>
        <v>8.8080204910166303E-4</v>
      </c>
      <c r="AL15">
        <v>52.482964000000003</v>
      </c>
      <c r="AM15">
        <f t="shared" si="12"/>
        <v>5.9585424504322848</v>
      </c>
    </row>
    <row r="16" spans="1:39" x14ac:dyDescent="0.2">
      <c r="A16" s="8" t="s">
        <v>15</v>
      </c>
      <c r="B16" s="4">
        <v>330</v>
      </c>
      <c r="C16" s="8">
        <v>165</v>
      </c>
      <c r="D16" s="4">
        <v>354</v>
      </c>
      <c r="E16" s="8">
        <v>177</v>
      </c>
      <c r="F16" s="8">
        <v>1</v>
      </c>
      <c r="G16" s="9">
        <v>9.0830000000000001E-4</v>
      </c>
      <c r="H16">
        <v>84.253088000000005</v>
      </c>
      <c r="I16" s="9">
        <f t="shared" si="0"/>
        <v>9.2759097214576691</v>
      </c>
      <c r="K16" s="1" t="s">
        <v>16</v>
      </c>
      <c r="L16" s="4">
        <v>240</v>
      </c>
      <c r="M16" s="1">
        <f t="shared" si="1"/>
        <v>120</v>
      </c>
      <c r="N16" s="4">
        <v>230</v>
      </c>
      <c r="O16" s="1">
        <f t="shared" si="2"/>
        <v>115</v>
      </c>
      <c r="P16" s="1">
        <v>10</v>
      </c>
      <c r="Q16">
        <f t="shared" si="3"/>
        <v>3.9018580757585231E-4</v>
      </c>
      <c r="R16">
        <v>43.289797999999998</v>
      </c>
      <c r="S16">
        <f t="shared" si="4"/>
        <v>11.094662378662873</v>
      </c>
      <c r="U16" s="1" t="s">
        <v>105</v>
      </c>
      <c r="V16" s="4">
        <v>240</v>
      </c>
      <c r="W16" s="4">
        <f t="shared" si="5"/>
        <v>120</v>
      </c>
      <c r="X16" s="4">
        <v>230</v>
      </c>
      <c r="Y16" s="4">
        <f t="shared" si="6"/>
        <v>115</v>
      </c>
      <c r="Z16" s="3">
        <v>80</v>
      </c>
      <c r="AA16">
        <f t="shared" si="7"/>
        <v>8.6707957239078254E-5</v>
      </c>
      <c r="AB16">
        <v>63.527506000000002</v>
      </c>
      <c r="AC16">
        <f t="shared" si="8"/>
        <v>73.266062334782944</v>
      </c>
      <c r="AE16" s="7" t="s">
        <v>17</v>
      </c>
      <c r="AF16" s="4">
        <v>330</v>
      </c>
      <c r="AG16" s="4">
        <f t="shared" si="9"/>
        <v>165</v>
      </c>
      <c r="AH16" s="4">
        <v>354</v>
      </c>
      <c r="AI16" s="4">
        <f t="shared" si="10"/>
        <v>177</v>
      </c>
      <c r="AJ16" s="3">
        <v>45</v>
      </c>
      <c r="AK16">
        <f t="shared" si="11"/>
        <v>5.0462617396449449E-4</v>
      </c>
    </row>
    <row r="17" spans="1:39" x14ac:dyDescent="0.2">
      <c r="A17" s="8" t="s">
        <v>16</v>
      </c>
      <c r="B17" s="4">
        <v>330</v>
      </c>
      <c r="C17" s="8">
        <v>165</v>
      </c>
      <c r="D17" s="4">
        <v>354</v>
      </c>
      <c r="E17" s="8">
        <v>177</v>
      </c>
      <c r="F17" s="8">
        <v>15</v>
      </c>
      <c r="G17" s="9">
        <v>7.7990000000000004E-4</v>
      </c>
      <c r="H17">
        <v>89.883673999999999</v>
      </c>
      <c r="I17" s="9">
        <f t="shared" si="0"/>
        <v>11.525025516091807</v>
      </c>
      <c r="K17" s="1" t="s">
        <v>101</v>
      </c>
      <c r="L17" s="4">
        <v>240</v>
      </c>
      <c r="M17" s="1">
        <f t="shared" si="1"/>
        <v>120</v>
      </c>
      <c r="N17" s="4">
        <v>230</v>
      </c>
      <c r="O17" s="1">
        <f t="shared" si="2"/>
        <v>115</v>
      </c>
      <c r="P17" s="1">
        <v>0</v>
      </c>
      <c r="Q17">
        <f t="shared" si="3"/>
        <v>4.3353978619539143E-4</v>
      </c>
      <c r="R17">
        <v>41.256379000000003</v>
      </c>
      <c r="S17">
        <f t="shared" si="4"/>
        <v>9.5161690607574876</v>
      </c>
      <c r="U17" s="1" t="s">
        <v>19</v>
      </c>
      <c r="V17" s="4">
        <v>240</v>
      </c>
      <c r="W17" s="4">
        <f t="shared" si="5"/>
        <v>120</v>
      </c>
      <c r="X17" s="4">
        <v>230</v>
      </c>
      <c r="Y17" s="4">
        <f t="shared" si="6"/>
        <v>115</v>
      </c>
      <c r="Z17" s="1">
        <v>8</v>
      </c>
      <c r="AA17">
        <f t="shared" si="7"/>
        <v>3.9885660329976009E-4</v>
      </c>
      <c r="AB17">
        <v>56.50065</v>
      </c>
      <c r="AC17">
        <f t="shared" si="8"/>
        <v>14.16565490769549</v>
      </c>
      <c r="AE17" s="1" t="s">
        <v>143</v>
      </c>
      <c r="AF17" s="4">
        <v>330</v>
      </c>
      <c r="AG17" s="4">
        <f t="shared" si="9"/>
        <v>165</v>
      </c>
      <c r="AH17" s="4">
        <v>354</v>
      </c>
      <c r="AI17" s="4">
        <f t="shared" si="10"/>
        <v>177</v>
      </c>
      <c r="AJ17" s="1">
        <v>4</v>
      </c>
      <c r="AK17">
        <f t="shared" si="11"/>
        <v>8.8080204910166303E-4</v>
      </c>
      <c r="AL17">
        <v>64.421335999999997</v>
      </c>
      <c r="AM17">
        <f t="shared" si="12"/>
        <v>7.3139402963133238</v>
      </c>
    </row>
    <row r="18" spans="1:39" x14ac:dyDescent="0.2">
      <c r="A18" s="15" t="s">
        <v>17</v>
      </c>
      <c r="B18" s="8">
        <v>360</v>
      </c>
      <c r="C18" s="8">
        <v>180</v>
      </c>
      <c r="D18" s="8">
        <v>368</v>
      </c>
      <c r="E18" s="8">
        <v>184</v>
      </c>
      <c r="F18" s="8">
        <v>10</v>
      </c>
      <c r="G18" s="9">
        <v>9.3639999999999999E-4</v>
      </c>
      <c r="H18">
        <v>98.033733999999995</v>
      </c>
      <c r="I18" s="9">
        <f t="shared" si="0"/>
        <v>10.469215506193935</v>
      </c>
      <c r="K18" s="1" t="s">
        <v>74</v>
      </c>
      <c r="L18" s="1">
        <v>240</v>
      </c>
      <c r="M18" s="1">
        <f t="shared" si="1"/>
        <v>120</v>
      </c>
      <c r="N18" s="1">
        <v>230</v>
      </c>
      <c r="O18" s="1">
        <f t="shared" si="2"/>
        <v>115</v>
      </c>
      <c r="P18" s="1">
        <v>10</v>
      </c>
      <c r="Q18">
        <f t="shared" si="3"/>
        <v>3.9018580757585231E-4</v>
      </c>
      <c r="R18">
        <v>41.218150000000001</v>
      </c>
      <c r="S18">
        <f t="shared" si="4"/>
        <v>10.563723538813536</v>
      </c>
      <c r="U18" s="1" t="s">
        <v>106</v>
      </c>
      <c r="V18" s="4">
        <v>240</v>
      </c>
      <c r="W18" s="4">
        <f t="shared" si="5"/>
        <v>120</v>
      </c>
      <c r="X18" s="4">
        <v>230</v>
      </c>
      <c r="Y18" s="4">
        <f t="shared" si="6"/>
        <v>115</v>
      </c>
      <c r="Z18" s="3">
        <v>35</v>
      </c>
      <c r="AA18">
        <f t="shared" si="7"/>
        <v>2.8180086102700443E-4</v>
      </c>
      <c r="AB18">
        <v>49.295392999999997</v>
      </c>
      <c r="AC18">
        <f t="shared" si="8"/>
        <v>17.492988779504159</v>
      </c>
      <c r="AE18" s="1" t="s">
        <v>144</v>
      </c>
      <c r="AF18" s="4">
        <v>360</v>
      </c>
      <c r="AG18" s="4">
        <f t="shared" si="9"/>
        <v>180</v>
      </c>
      <c r="AH18" s="4">
        <v>368</v>
      </c>
      <c r="AI18" s="4">
        <f t="shared" si="10"/>
        <v>184</v>
      </c>
      <c r="AJ18" s="1">
        <v>1</v>
      </c>
      <c r="AK18">
        <f t="shared" si="11"/>
        <v>1.0300905320002501E-3</v>
      </c>
      <c r="AL18">
        <v>50.382188999999997</v>
      </c>
      <c r="AM18">
        <f t="shared" si="12"/>
        <v>4.8910447611014218</v>
      </c>
    </row>
    <row r="19" spans="1:39" x14ac:dyDescent="0.2">
      <c r="A19" s="8" t="s">
        <v>18</v>
      </c>
      <c r="B19" s="4">
        <v>330</v>
      </c>
      <c r="C19" s="8">
        <v>165</v>
      </c>
      <c r="D19" s="4">
        <v>354</v>
      </c>
      <c r="E19" s="8">
        <v>177</v>
      </c>
      <c r="F19" s="8">
        <v>7</v>
      </c>
      <c r="G19" s="9">
        <v>8.5329999999999998E-4</v>
      </c>
      <c r="H19" s="6">
        <v>86.64331</v>
      </c>
      <c r="I19" s="9">
        <f t="shared" si="0"/>
        <v>10.153909527715928</v>
      </c>
      <c r="K19" s="1" t="s">
        <v>21</v>
      </c>
      <c r="L19" s="1">
        <v>250</v>
      </c>
      <c r="M19" s="1">
        <f t="shared" si="1"/>
        <v>125</v>
      </c>
      <c r="N19" s="1">
        <v>240</v>
      </c>
      <c r="O19" s="1">
        <f t="shared" si="2"/>
        <v>120</v>
      </c>
      <c r="P19" s="1">
        <v>5</v>
      </c>
      <c r="Q19">
        <f t="shared" si="3"/>
        <v>4.4767695313654543E-4</v>
      </c>
      <c r="R19">
        <v>42.741849000000002</v>
      </c>
      <c r="S19">
        <f t="shared" si="4"/>
        <v>9.5474758529647517</v>
      </c>
      <c r="U19" s="1" t="s">
        <v>20</v>
      </c>
      <c r="V19" s="4">
        <v>250</v>
      </c>
      <c r="W19" s="4">
        <f t="shared" si="5"/>
        <v>125</v>
      </c>
      <c r="X19" s="4">
        <v>240</v>
      </c>
      <c r="Y19" s="4">
        <f t="shared" si="6"/>
        <v>120</v>
      </c>
      <c r="Z19" s="1">
        <v>3</v>
      </c>
      <c r="AA19">
        <f t="shared" si="7"/>
        <v>4.5710173109731486E-4</v>
      </c>
      <c r="AB19">
        <v>95.264861999999994</v>
      </c>
      <c r="AC19">
        <f t="shared" si="8"/>
        <v>20.841063491776307</v>
      </c>
      <c r="AE19" s="1" t="s">
        <v>20</v>
      </c>
      <c r="AF19" s="4">
        <v>330</v>
      </c>
      <c r="AG19" s="4">
        <f t="shared" si="9"/>
        <v>165</v>
      </c>
      <c r="AH19" s="4">
        <v>354</v>
      </c>
      <c r="AI19" s="4">
        <f t="shared" si="10"/>
        <v>177</v>
      </c>
      <c r="AJ19" s="1">
        <v>15</v>
      </c>
      <c r="AK19">
        <f t="shared" si="11"/>
        <v>7.7987681430876418E-4</v>
      </c>
      <c r="AL19">
        <v>73.044708</v>
      </c>
      <c r="AM19">
        <f t="shared" si="12"/>
        <v>9.3661853589970399</v>
      </c>
    </row>
    <row r="20" spans="1:39" x14ac:dyDescent="0.2">
      <c r="A20" s="8" t="s">
        <v>19</v>
      </c>
      <c r="B20" s="4">
        <v>330</v>
      </c>
      <c r="C20" s="8">
        <v>165</v>
      </c>
      <c r="D20" s="4">
        <v>354</v>
      </c>
      <c r="E20" s="8">
        <v>177</v>
      </c>
      <c r="F20" s="8">
        <v>7</v>
      </c>
      <c r="G20" s="9">
        <v>8.5329999999999998E-4</v>
      </c>
      <c r="H20" s="6">
        <v>94.267269999999996</v>
      </c>
      <c r="I20" s="9">
        <f t="shared" si="0"/>
        <v>11.047377241298488</v>
      </c>
      <c r="K20" s="1" t="s">
        <v>22</v>
      </c>
      <c r="L20" s="1">
        <v>250</v>
      </c>
      <c r="M20" s="1">
        <f t="shared" si="1"/>
        <v>125</v>
      </c>
      <c r="N20" s="1">
        <v>240</v>
      </c>
      <c r="O20" s="1">
        <f t="shared" si="2"/>
        <v>120</v>
      </c>
      <c r="P20" s="1">
        <v>8</v>
      </c>
      <c r="Q20">
        <f t="shared" si="3"/>
        <v>4.3353978619539143E-4</v>
      </c>
      <c r="R20">
        <v>42.885663000000001</v>
      </c>
      <c r="S20">
        <f t="shared" si="4"/>
        <v>9.8919786293089889</v>
      </c>
      <c r="U20" s="1" t="s">
        <v>22</v>
      </c>
      <c r="V20" s="4">
        <v>250</v>
      </c>
      <c r="W20" s="4">
        <f t="shared" si="5"/>
        <v>125</v>
      </c>
      <c r="X20" s="4">
        <v>240</v>
      </c>
      <c r="Y20" s="4">
        <f t="shared" si="6"/>
        <v>120</v>
      </c>
      <c r="Z20" s="3">
        <v>80</v>
      </c>
      <c r="AA20">
        <f t="shared" si="7"/>
        <v>9.4247779607693757E-5</v>
      </c>
      <c r="AB20">
        <v>73.288645000000002</v>
      </c>
      <c r="AC20">
        <f t="shared" si="8"/>
        <v>77.761667495047504</v>
      </c>
      <c r="AE20" s="1" t="s">
        <v>22</v>
      </c>
      <c r="AF20" s="4">
        <v>330</v>
      </c>
      <c r="AG20" s="4">
        <f t="shared" si="9"/>
        <v>165</v>
      </c>
      <c r="AH20" s="4">
        <v>354</v>
      </c>
      <c r="AI20" s="4">
        <f t="shared" si="10"/>
        <v>177</v>
      </c>
      <c r="AJ20" s="1">
        <v>8</v>
      </c>
      <c r="AK20">
        <f t="shared" si="11"/>
        <v>8.4410196372242704E-4</v>
      </c>
      <c r="AL20">
        <v>61.630619000000003</v>
      </c>
      <c r="AM20">
        <f t="shared" si="12"/>
        <v>7.3013239689922704</v>
      </c>
    </row>
    <row r="21" spans="1:39" x14ac:dyDescent="0.2">
      <c r="A21" s="8" t="s">
        <v>20</v>
      </c>
      <c r="B21" s="8">
        <v>330</v>
      </c>
      <c r="C21" s="8">
        <v>165</v>
      </c>
      <c r="D21" s="8">
        <v>380</v>
      </c>
      <c r="E21" s="8">
        <v>190</v>
      </c>
      <c r="F21" s="8">
        <v>1</v>
      </c>
      <c r="G21" s="9">
        <v>9.7499999999999996E-4</v>
      </c>
      <c r="H21" s="6">
        <v>27.439319999999999</v>
      </c>
      <c r="I21" s="9">
        <f t="shared" si="0"/>
        <v>2.8142892307692309</v>
      </c>
      <c r="K21" s="1" t="s">
        <v>75</v>
      </c>
      <c r="L21" s="4">
        <v>242</v>
      </c>
      <c r="M21" s="1">
        <f t="shared" si="1"/>
        <v>121</v>
      </c>
      <c r="N21" s="4">
        <v>235</v>
      </c>
      <c r="O21" s="1">
        <f t="shared" si="2"/>
        <v>117.5</v>
      </c>
      <c r="P21" s="1">
        <v>1</v>
      </c>
      <c r="Q21">
        <f t="shared" si="3"/>
        <v>4.421893761688876E-4</v>
      </c>
      <c r="R21">
        <v>40.650176000000002</v>
      </c>
      <c r="S21">
        <f t="shared" si="4"/>
        <v>9.1929336593727378</v>
      </c>
      <c r="U21" s="1" t="s">
        <v>75</v>
      </c>
      <c r="V21" s="4">
        <v>242</v>
      </c>
      <c r="W21" s="4">
        <f t="shared" si="5"/>
        <v>121</v>
      </c>
      <c r="X21" s="4">
        <v>235</v>
      </c>
      <c r="Y21" s="4">
        <f t="shared" si="6"/>
        <v>117.5</v>
      </c>
      <c r="Z21" s="3">
        <v>80</v>
      </c>
      <c r="AA21">
        <f t="shared" si="7"/>
        <v>8.9331187104825749E-5</v>
      </c>
      <c r="AB21">
        <v>25.587948000000001</v>
      </c>
      <c r="AC21">
        <f t="shared" si="8"/>
        <v>28.643913541609837</v>
      </c>
      <c r="AE21" s="1" t="s">
        <v>23</v>
      </c>
      <c r="AF21" s="4">
        <v>330</v>
      </c>
      <c r="AG21" s="4">
        <f t="shared" si="9"/>
        <v>165</v>
      </c>
      <c r="AH21" s="4">
        <v>380</v>
      </c>
      <c r="AI21" s="4">
        <f t="shared" si="10"/>
        <v>190</v>
      </c>
      <c r="AJ21" s="1">
        <v>12</v>
      </c>
      <c r="AK21">
        <f t="shared" si="11"/>
        <v>8.6670258127235209E-4</v>
      </c>
      <c r="AL21">
        <v>61.490445999999999</v>
      </c>
      <c r="AM21">
        <f t="shared" si="12"/>
        <v>7.0947574552887227</v>
      </c>
    </row>
    <row r="22" spans="1:39" x14ac:dyDescent="0.2">
      <c r="A22" s="8" t="s">
        <v>21</v>
      </c>
      <c r="B22" s="4">
        <v>376</v>
      </c>
      <c r="C22" s="8">
        <v>188</v>
      </c>
      <c r="D22" s="4">
        <v>396</v>
      </c>
      <c r="E22" s="8">
        <v>198</v>
      </c>
      <c r="F22" s="8">
        <v>1</v>
      </c>
      <c r="G22" s="9">
        <v>1.1577E-3</v>
      </c>
      <c r="H22" s="6">
        <v>93.415310000000005</v>
      </c>
      <c r="I22" s="9">
        <f t="shared" si="0"/>
        <v>8.0690429299473099</v>
      </c>
      <c r="K22" s="1" t="s">
        <v>23</v>
      </c>
      <c r="L22" s="1">
        <v>230</v>
      </c>
      <c r="M22" s="1">
        <f t="shared" si="1"/>
        <v>115</v>
      </c>
      <c r="N22" s="1">
        <v>230</v>
      </c>
      <c r="O22" s="1">
        <f t="shared" si="2"/>
        <v>115</v>
      </c>
      <c r="P22" s="1">
        <v>8</v>
      </c>
      <c r="Q22">
        <f t="shared" si="3"/>
        <v>3.8223757816227024E-4</v>
      </c>
      <c r="R22">
        <v>36.843659000000002</v>
      </c>
      <c r="S22">
        <f t="shared" si="4"/>
        <v>9.6389421409422162</v>
      </c>
      <c r="U22" s="1" t="s">
        <v>107</v>
      </c>
      <c r="V22" s="4">
        <v>230</v>
      </c>
      <c r="W22" s="4">
        <f t="shared" si="5"/>
        <v>115</v>
      </c>
      <c r="X22" s="4">
        <v>230</v>
      </c>
      <c r="Y22" s="4">
        <f t="shared" si="6"/>
        <v>115</v>
      </c>
      <c r="Z22" s="3">
        <v>35</v>
      </c>
      <c r="AA22">
        <f t="shared" si="7"/>
        <v>2.7005915848421263E-4</v>
      </c>
      <c r="AB22">
        <v>40.535488999999998</v>
      </c>
      <c r="AC22">
        <f t="shared" si="8"/>
        <v>15.009855332260344</v>
      </c>
      <c r="AE22" s="1" t="s">
        <v>24</v>
      </c>
      <c r="AF22" s="4">
        <v>376</v>
      </c>
      <c r="AG22" s="4">
        <f t="shared" si="9"/>
        <v>188</v>
      </c>
      <c r="AH22" s="4">
        <v>396</v>
      </c>
      <c r="AI22" s="4">
        <f t="shared" si="10"/>
        <v>198</v>
      </c>
      <c r="AJ22" s="1">
        <v>1</v>
      </c>
      <c r="AK22">
        <f t="shared" si="11"/>
        <v>1.157732184878542E-3</v>
      </c>
      <c r="AL22">
        <v>57.181491000000001</v>
      </c>
      <c r="AM22">
        <f t="shared" si="12"/>
        <v>4.9390948741741099</v>
      </c>
    </row>
    <row r="23" spans="1:39" x14ac:dyDescent="0.2">
      <c r="A23" s="8" t="s">
        <v>22</v>
      </c>
      <c r="B23" s="8">
        <v>370</v>
      </c>
      <c r="C23" s="8">
        <v>185</v>
      </c>
      <c r="D23" s="8">
        <v>390</v>
      </c>
      <c r="E23" s="8">
        <v>195</v>
      </c>
      <c r="F23" s="8">
        <v>8</v>
      </c>
      <c r="G23" s="9">
        <v>1.0426999999999999E-3</v>
      </c>
      <c r="H23" s="6">
        <v>94.751499999999993</v>
      </c>
      <c r="I23" s="9">
        <f t="shared" si="0"/>
        <v>9.0871295674690717</v>
      </c>
      <c r="K23" s="1" t="s">
        <v>25</v>
      </c>
      <c r="L23" s="4">
        <v>242</v>
      </c>
      <c r="M23" s="1">
        <f t="shared" si="1"/>
        <v>121</v>
      </c>
      <c r="N23" s="4">
        <v>235</v>
      </c>
      <c r="O23" s="1">
        <f t="shared" si="2"/>
        <v>117.5</v>
      </c>
      <c r="P23" s="1">
        <v>1</v>
      </c>
      <c r="Q23">
        <f t="shared" si="3"/>
        <v>4.421893761688876E-4</v>
      </c>
      <c r="R23">
        <v>50.127329000000003</v>
      </c>
      <c r="S23">
        <f t="shared" si="4"/>
        <v>11.336167647061385</v>
      </c>
      <c r="U23" s="1" t="s">
        <v>24</v>
      </c>
      <c r="V23" s="4">
        <v>242</v>
      </c>
      <c r="W23" s="4">
        <f t="shared" si="5"/>
        <v>121</v>
      </c>
      <c r="X23" s="4">
        <v>235</v>
      </c>
      <c r="Y23" s="4">
        <f t="shared" si="6"/>
        <v>117.5</v>
      </c>
      <c r="Z23" s="3">
        <v>25</v>
      </c>
      <c r="AA23">
        <f t="shared" si="7"/>
        <v>3.3499195164309671E-4</v>
      </c>
      <c r="AB23">
        <v>44.141759</v>
      </c>
      <c r="AC23">
        <f t="shared" si="8"/>
        <v>13.176961053389428</v>
      </c>
      <c r="AE23" s="1" t="s">
        <v>25</v>
      </c>
      <c r="AF23" s="4">
        <v>370</v>
      </c>
      <c r="AG23" s="4">
        <f t="shared" si="9"/>
        <v>185</v>
      </c>
      <c r="AH23" s="4">
        <v>390</v>
      </c>
      <c r="AI23" s="4">
        <f t="shared" si="10"/>
        <v>195</v>
      </c>
      <c r="AJ23" s="1">
        <v>1</v>
      </c>
      <c r="AK23">
        <f t="shared" si="11"/>
        <v>1.1219962542846928E-3</v>
      </c>
      <c r="AL23">
        <v>50.196505000000002</v>
      </c>
      <c r="AM23">
        <f t="shared" si="12"/>
        <v>4.473856736001478</v>
      </c>
    </row>
    <row r="24" spans="1:39" x14ac:dyDescent="0.2">
      <c r="A24" s="8" t="s">
        <v>23</v>
      </c>
      <c r="B24" s="8">
        <v>360</v>
      </c>
      <c r="C24" s="8">
        <v>180</v>
      </c>
      <c r="D24" s="8">
        <v>380</v>
      </c>
      <c r="E24" s="8">
        <v>190</v>
      </c>
      <c r="F24" s="8">
        <v>10</v>
      </c>
      <c r="G24" s="9">
        <v>9.6699999999999998E-4</v>
      </c>
      <c r="H24" s="6">
        <v>96.801299999999998</v>
      </c>
      <c r="I24" s="9">
        <f t="shared" si="0"/>
        <v>10.010475698035162</v>
      </c>
      <c r="K24" s="1" t="s">
        <v>76</v>
      </c>
      <c r="L24" s="1">
        <v>230</v>
      </c>
      <c r="M24" s="1">
        <f t="shared" si="1"/>
        <v>115</v>
      </c>
      <c r="N24" s="1">
        <v>240</v>
      </c>
      <c r="O24" s="1">
        <f t="shared" si="2"/>
        <v>120</v>
      </c>
      <c r="P24" s="3">
        <v>8</v>
      </c>
      <c r="Q24">
        <f t="shared" si="3"/>
        <v>3.988566032997602E-4</v>
      </c>
      <c r="R24">
        <v>41.5167</v>
      </c>
      <c r="S24">
        <f t="shared" si="4"/>
        <v>10.408928837213754</v>
      </c>
      <c r="U24" s="1" t="s">
        <v>25</v>
      </c>
      <c r="V24" s="4">
        <v>230</v>
      </c>
      <c r="W24" s="4">
        <f t="shared" si="5"/>
        <v>115</v>
      </c>
      <c r="X24" s="4">
        <v>240</v>
      </c>
      <c r="Y24" s="4">
        <f t="shared" si="6"/>
        <v>120</v>
      </c>
      <c r="Z24" s="3">
        <v>50</v>
      </c>
      <c r="AA24">
        <f t="shared" si="7"/>
        <v>2.1676989309769574E-4</v>
      </c>
      <c r="AB24">
        <v>37.608240000000002</v>
      </c>
      <c r="AC24">
        <f t="shared" si="8"/>
        <v>17.34938346952563</v>
      </c>
      <c r="AE24" s="1" t="s">
        <v>131</v>
      </c>
      <c r="AF24" s="4">
        <v>360</v>
      </c>
      <c r="AG24" s="4">
        <f t="shared" si="9"/>
        <v>180</v>
      </c>
      <c r="AH24" s="4">
        <v>380</v>
      </c>
      <c r="AI24" s="4">
        <f t="shared" si="10"/>
        <v>190</v>
      </c>
      <c r="AJ24" s="1">
        <v>6</v>
      </c>
      <c r="AK24">
        <f t="shared" si="11"/>
        <v>1.0099592062760468E-3</v>
      </c>
      <c r="AL24">
        <v>68.005759999999995</v>
      </c>
      <c r="AM24">
        <f t="shared" si="12"/>
        <v>6.7335155298750102</v>
      </c>
    </row>
    <row r="25" spans="1:39" x14ac:dyDescent="0.2">
      <c r="A25" s="8" t="s">
        <v>24</v>
      </c>
      <c r="B25" s="8">
        <v>390</v>
      </c>
      <c r="C25" s="8">
        <v>195</v>
      </c>
      <c r="D25" s="8">
        <v>390</v>
      </c>
      <c r="E25" s="8">
        <v>195</v>
      </c>
      <c r="F25" s="8">
        <v>2</v>
      </c>
      <c r="G25" s="9">
        <v>1.1707E-3</v>
      </c>
      <c r="H25" s="6">
        <v>89.581479999999999</v>
      </c>
      <c r="I25" s="9">
        <f t="shared" si="0"/>
        <v>7.6519586572136333</v>
      </c>
      <c r="K25" s="1" t="s">
        <v>28</v>
      </c>
      <c r="L25" s="1">
        <v>240</v>
      </c>
      <c r="M25" s="1">
        <f t="shared" si="1"/>
        <v>120</v>
      </c>
      <c r="N25" s="1">
        <v>240</v>
      </c>
      <c r="O25" s="1">
        <f t="shared" si="2"/>
        <v>120</v>
      </c>
      <c r="P25" s="1">
        <v>1</v>
      </c>
      <c r="Q25">
        <f t="shared" si="3"/>
        <v>4.4786544869576087E-4</v>
      </c>
      <c r="R25">
        <v>40.548231999999999</v>
      </c>
      <c r="S25">
        <f t="shared" si="4"/>
        <v>9.0536637997151654</v>
      </c>
      <c r="U25" s="1" t="s">
        <v>108</v>
      </c>
      <c r="V25" s="4">
        <v>240</v>
      </c>
      <c r="W25" s="4">
        <f t="shared" si="5"/>
        <v>120</v>
      </c>
      <c r="X25" s="4">
        <v>240</v>
      </c>
      <c r="Y25" s="4">
        <f t="shared" si="6"/>
        <v>120</v>
      </c>
      <c r="Z25" s="1">
        <v>22</v>
      </c>
      <c r="AA25">
        <f t="shared" si="7"/>
        <v>3.5286368685120555E-4</v>
      </c>
      <c r="AB25">
        <v>69.052507000000006</v>
      </c>
      <c r="AC25">
        <f t="shared" si="8"/>
        <v>19.569173472111299</v>
      </c>
      <c r="AE25" s="1" t="s">
        <v>132</v>
      </c>
      <c r="AF25" s="4">
        <v>390</v>
      </c>
      <c r="AG25" s="4">
        <f t="shared" si="9"/>
        <v>195</v>
      </c>
      <c r="AH25" s="4">
        <v>390</v>
      </c>
      <c r="AI25" s="4">
        <f t="shared" si="10"/>
        <v>195</v>
      </c>
      <c r="AJ25" s="1">
        <v>2</v>
      </c>
      <c r="AK25">
        <f t="shared" si="11"/>
        <v>1.1706987943969685E-3</v>
      </c>
      <c r="AL25">
        <v>63.926178999999998</v>
      </c>
      <c r="AM25">
        <f t="shared" si="12"/>
        <v>5.4605146350158007</v>
      </c>
    </row>
    <row r="26" spans="1:39" x14ac:dyDescent="0.2">
      <c r="A26" s="8" t="s">
        <v>25</v>
      </c>
      <c r="B26" s="8">
        <v>430</v>
      </c>
      <c r="C26" s="8">
        <v>215</v>
      </c>
      <c r="D26" s="8">
        <v>440</v>
      </c>
      <c r="E26" s="8">
        <v>220</v>
      </c>
      <c r="F26" s="8">
        <v>2</v>
      </c>
      <c r="G26" s="9">
        <v>1.4563E-3</v>
      </c>
      <c r="H26" s="6">
        <v>119.8698</v>
      </c>
      <c r="I26" s="9">
        <f t="shared" si="0"/>
        <v>8.2311199615463835</v>
      </c>
      <c r="K26" s="1" t="s">
        <v>77</v>
      </c>
      <c r="L26" s="4">
        <v>235</v>
      </c>
      <c r="M26" s="1">
        <f t="shared" si="1"/>
        <v>117.5</v>
      </c>
      <c r="N26" s="4">
        <v>240</v>
      </c>
      <c r="O26" s="1">
        <f t="shared" si="2"/>
        <v>120</v>
      </c>
      <c r="P26" s="1">
        <v>0</v>
      </c>
      <c r="Q26">
        <f t="shared" si="3"/>
        <v>4.4296456415616087E-4</v>
      </c>
      <c r="R26">
        <v>45.421520000000001</v>
      </c>
      <c r="S26">
        <f t="shared" si="4"/>
        <v>10.253985008152322</v>
      </c>
      <c r="U26" s="1" t="s">
        <v>109</v>
      </c>
      <c r="V26" s="4">
        <v>235</v>
      </c>
      <c r="W26" s="4">
        <f t="shared" si="5"/>
        <v>117.5</v>
      </c>
      <c r="X26" s="4">
        <v>240</v>
      </c>
      <c r="Y26" s="4">
        <f t="shared" si="6"/>
        <v>120</v>
      </c>
      <c r="Z26" s="3">
        <v>25</v>
      </c>
      <c r="AA26">
        <f t="shared" si="7"/>
        <v>3.3222342311712064E-4</v>
      </c>
      <c r="AB26">
        <v>52.570343999999999</v>
      </c>
      <c r="AC26">
        <f t="shared" si="8"/>
        <v>15.823792165751984</v>
      </c>
      <c r="AE26" s="16" t="s">
        <v>109</v>
      </c>
      <c r="AF26" s="4">
        <v>430</v>
      </c>
      <c r="AG26" s="4">
        <f t="shared" si="9"/>
        <v>215</v>
      </c>
      <c r="AH26" s="4">
        <v>440</v>
      </c>
      <c r="AI26" s="4">
        <f t="shared" si="10"/>
        <v>220</v>
      </c>
      <c r="AJ26" s="1">
        <v>12</v>
      </c>
      <c r="AK26">
        <f t="shared" si="11"/>
        <v>1.3076565261302155E-3</v>
      </c>
      <c r="AL26">
        <v>62.309638999999997</v>
      </c>
      <c r="AM26">
        <f t="shared" si="12"/>
        <v>4.7649851283497702</v>
      </c>
    </row>
    <row r="27" spans="1:39" x14ac:dyDescent="0.2">
      <c r="A27" s="8" t="s">
        <v>26</v>
      </c>
      <c r="B27" s="4">
        <v>376</v>
      </c>
      <c r="C27" s="8">
        <v>188</v>
      </c>
      <c r="D27" s="4">
        <v>396</v>
      </c>
      <c r="E27" s="8">
        <v>198</v>
      </c>
      <c r="F27" s="8">
        <v>4</v>
      </c>
      <c r="G27" s="9">
        <v>1.1226000000000001E-3</v>
      </c>
      <c r="H27" s="6">
        <v>99.819580000000002</v>
      </c>
      <c r="I27" s="9">
        <f t="shared" si="0"/>
        <v>8.89182077320506</v>
      </c>
      <c r="K27" s="1" t="s">
        <v>29</v>
      </c>
      <c r="L27" s="4">
        <v>200</v>
      </c>
      <c r="M27" s="1">
        <f t="shared" si="1"/>
        <v>100</v>
      </c>
      <c r="N27" s="4">
        <v>240</v>
      </c>
      <c r="O27" s="1">
        <f t="shared" si="2"/>
        <v>120</v>
      </c>
      <c r="P27" s="1">
        <v>0</v>
      </c>
      <c r="Q27">
        <f t="shared" si="3"/>
        <v>3.7699111843077519E-4</v>
      </c>
      <c r="R27">
        <v>42.588932999999997</v>
      </c>
      <c r="S27">
        <f t="shared" si="4"/>
        <v>11.29706534659924</v>
      </c>
      <c r="U27" s="1" t="s">
        <v>110</v>
      </c>
      <c r="V27" s="4">
        <v>200</v>
      </c>
      <c r="W27" s="4">
        <f t="shared" si="5"/>
        <v>100</v>
      </c>
      <c r="X27" s="4">
        <v>240</v>
      </c>
      <c r="Y27" s="4">
        <f t="shared" si="6"/>
        <v>120</v>
      </c>
      <c r="Z27" s="3">
        <v>75</v>
      </c>
      <c r="AA27">
        <f t="shared" si="7"/>
        <v>9.4247779607693798E-5</v>
      </c>
      <c r="AB27">
        <v>41.848018000000003</v>
      </c>
      <c r="AC27">
        <f t="shared" si="8"/>
        <v>44.402126155324083</v>
      </c>
      <c r="AE27" s="1" t="s">
        <v>111</v>
      </c>
      <c r="AF27" s="4">
        <v>376</v>
      </c>
      <c r="AG27" s="4">
        <f t="shared" si="9"/>
        <v>188</v>
      </c>
      <c r="AH27" s="4">
        <v>396</v>
      </c>
      <c r="AI27" s="4">
        <f t="shared" si="10"/>
        <v>198</v>
      </c>
      <c r="AJ27" s="3">
        <v>80</v>
      </c>
      <c r="AK27">
        <f t="shared" si="11"/>
        <v>2.3388528987445287E-4</v>
      </c>
      <c r="AL27">
        <v>52.686852000000002</v>
      </c>
      <c r="AM27">
        <f t="shared" si="12"/>
        <v>22.52679167137093</v>
      </c>
    </row>
    <row r="28" spans="1:39" x14ac:dyDescent="0.2">
      <c r="A28" s="8" t="s">
        <v>27</v>
      </c>
      <c r="B28" s="4">
        <v>376</v>
      </c>
      <c r="C28" s="8">
        <v>188</v>
      </c>
      <c r="D28" s="4">
        <v>396</v>
      </c>
      <c r="E28" s="8">
        <v>198</v>
      </c>
      <c r="F28" s="8">
        <v>20</v>
      </c>
      <c r="G28" s="9">
        <v>9.3550000000000003E-4</v>
      </c>
      <c r="H28" s="6">
        <v>101.91849999999999</v>
      </c>
      <c r="I28" s="9">
        <f t="shared" si="0"/>
        <v>10.894548369855693</v>
      </c>
      <c r="K28" s="1" t="s">
        <v>30</v>
      </c>
      <c r="L28" s="4">
        <v>200</v>
      </c>
      <c r="M28" s="1">
        <f t="shared" si="1"/>
        <v>100</v>
      </c>
      <c r="N28" s="4">
        <v>240</v>
      </c>
      <c r="O28" s="1">
        <f t="shared" si="2"/>
        <v>120</v>
      </c>
      <c r="P28" s="1">
        <v>0</v>
      </c>
      <c r="Q28">
        <f t="shared" si="3"/>
        <v>3.7699111843077519E-4</v>
      </c>
      <c r="R28">
        <v>43.091371000000002</v>
      </c>
      <c r="S28">
        <f t="shared" si="4"/>
        <v>11.430341165427917</v>
      </c>
      <c r="U28" s="1" t="s">
        <v>29</v>
      </c>
      <c r="V28" s="4">
        <v>200</v>
      </c>
      <c r="W28" s="4">
        <f t="shared" si="5"/>
        <v>100</v>
      </c>
      <c r="X28" s="4">
        <v>240</v>
      </c>
      <c r="Y28" s="4">
        <f t="shared" si="6"/>
        <v>120</v>
      </c>
      <c r="Z28" s="3">
        <v>45</v>
      </c>
      <c r="AA28">
        <f t="shared" si="7"/>
        <v>2.0734511513692636E-4</v>
      </c>
      <c r="AB28">
        <v>82.232411999999997</v>
      </c>
      <c r="AC28">
        <f t="shared" si="8"/>
        <v>39.659681370209974</v>
      </c>
      <c r="AE28" s="1" t="s">
        <v>31</v>
      </c>
      <c r="AF28" s="4">
        <v>376</v>
      </c>
      <c r="AG28" s="4">
        <f t="shared" si="9"/>
        <v>188</v>
      </c>
      <c r="AH28" s="4">
        <v>396</v>
      </c>
      <c r="AI28" s="4">
        <f t="shared" si="10"/>
        <v>198</v>
      </c>
      <c r="AJ28" s="3">
        <v>85</v>
      </c>
      <c r="AK28">
        <f t="shared" si="11"/>
        <v>1.7541396740583973E-4</v>
      </c>
      <c r="AL28">
        <v>50.575153999999998</v>
      </c>
      <c r="AM28">
        <f t="shared" si="12"/>
        <v>28.83188536690967</v>
      </c>
    </row>
    <row r="29" spans="1:39" x14ac:dyDescent="0.2">
      <c r="A29" s="8" t="s">
        <v>28</v>
      </c>
      <c r="B29" s="4">
        <v>376</v>
      </c>
      <c r="C29" s="8">
        <v>188</v>
      </c>
      <c r="D29" s="4">
        <v>396</v>
      </c>
      <c r="E29" s="8">
        <v>198</v>
      </c>
      <c r="F29" s="8">
        <v>15</v>
      </c>
      <c r="G29" s="9">
        <v>9.9400000000000009E-4</v>
      </c>
      <c r="H29" s="6">
        <v>105.3519</v>
      </c>
      <c r="I29" s="9">
        <f t="shared" si="0"/>
        <v>10.598782696177061</v>
      </c>
      <c r="K29" s="1" t="s">
        <v>31</v>
      </c>
      <c r="L29" s="4">
        <v>200</v>
      </c>
      <c r="M29" s="1">
        <f t="shared" si="1"/>
        <v>100</v>
      </c>
      <c r="N29" s="4">
        <v>240</v>
      </c>
      <c r="O29" s="1">
        <f t="shared" si="2"/>
        <v>120</v>
      </c>
      <c r="P29" s="1">
        <v>1</v>
      </c>
      <c r="Q29">
        <f t="shared" si="3"/>
        <v>3.7322120724646741E-4</v>
      </c>
      <c r="R29">
        <v>42.452401000000002</v>
      </c>
      <c r="S29">
        <f t="shared" si="4"/>
        <v>11.374595059375963</v>
      </c>
      <c r="U29" s="1" t="s">
        <v>111</v>
      </c>
      <c r="V29" s="4">
        <v>200</v>
      </c>
      <c r="W29" s="4">
        <f t="shared" si="5"/>
        <v>100</v>
      </c>
      <c r="X29" s="4">
        <v>240</v>
      </c>
      <c r="Y29" s="4">
        <f t="shared" si="6"/>
        <v>120</v>
      </c>
      <c r="Z29" s="3">
        <v>70</v>
      </c>
      <c r="AA29">
        <f t="shared" si="7"/>
        <v>1.1309733552923256E-4</v>
      </c>
      <c r="AB29">
        <v>69.391107000000005</v>
      </c>
      <c r="AC29">
        <f t="shared" si="8"/>
        <v>61.355209364825669</v>
      </c>
      <c r="AE29" s="1" t="s">
        <v>112</v>
      </c>
      <c r="AF29" s="4">
        <v>376</v>
      </c>
      <c r="AG29" s="4">
        <f t="shared" si="9"/>
        <v>188</v>
      </c>
      <c r="AH29" s="4">
        <v>396</v>
      </c>
      <c r="AI29" s="4">
        <f t="shared" si="10"/>
        <v>198</v>
      </c>
      <c r="AJ29" s="1">
        <v>12</v>
      </c>
      <c r="AK29">
        <f t="shared" si="11"/>
        <v>1.029095275447593E-3</v>
      </c>
      <c r="AL29">
        <v>63.130651999999998</v>
      </c>
      <c r="AM29">
        <f t="shared" si="12"/>
        <v>6.1345779643718661</v>
      </c>
    </row>
    <row r="30" spans="1:39" x14ac:dyDescent="0.2">
      <c r="A30" s="8" t="s">
        <v>29</v>
      </c>
      <c r="B30" s="8">
        <v>340</v>
      </c>
      <c r="C30" s="8">
        <v>170</v>
      </c>
      <c r="D30" s="8">
        <v>360</v>
      </c>
      <c r="E30" s="8">
        <v>180</v>
      </c>
      <c r="F30" s="8">
        <v>2</v>
      </c>
      <c r="G30" s="9">
        <v>9.4209999999999997E-4</v>
      </c>
      <c r="H30" s="6">
        <v>22.32938</v>
      </c>
      <c r="I30" s="9">
        <f t="shared" si="0"/>
        <v>2.3701708948094686</v>
      </c>
      <c r="K30" s="1" t="s">
        <v>78</v>
      </c>
      <c r="L30" s="4">
        <v>200</v>
      </c>
      <c r="M30" s="1">
        <f t="shared" si="1"/>
        <v>100</v>
      </c>
      <c r="N30" s="4">
        <v>240</v>
      </c>
      <c r="O30" s="1">
        <f t="shared" si="2"/>
        <v>120</v>
      </c>
      <c r="P30" s="1">
        <v>1</v>
      </c>
      <c r="Q30">
        <f t="shared" si="3"/>
        <v>3.7322120724646741E-4</v>
      </c>
      <c r="R30">
        <v>42.517935999999999</v>
      </c>
      <c r="S30">
        <f t="shared" si="4"/>
        <v>11.392154350950925</v>
      </c>
      <c r="U30" s="7" t="s">
        <v>112</v>
      </c>
      <c r="V30" s="4">
        <v>200</v>
      </c>
      <c r="W30" s="4">
        <f t="shared" si="5"/>
        <v>100</v>
      </c>
      <c r="X30" s="4">
        <v>240</v>
      </c>
      <c r="Y30" s="4">
        <f t="shared" si="6"/>
        <v>120</v>
      </c>
      <c r="Z30" s="1">
        <v>20</v>
      </c>
      <c r="AA30">
        <f t="shared" si="7"/>
        <v>3.0159289474462013E-4</v>
      </c>
      <c r="AB30" s="6"/>
      <c r="AE30" s="1" t="s">
        <v>34</v>
      </c>
      <c r="AF30" s="4">
        <v>340</v>
      </c>
      <c r="AG30" s="4">
        <f t="shared" si="9"/>
        <v>170</v>
      </c>
      <c r="AH30" s="4">
        <v>360</v>
      </c>
      <c r="AI30" s="4">
        <f t="shared" si="10"/>
        <v>180</v>
      </c>
      <c r="AJ30" s="1">
        <v>18</v>
      </c>
      <c r="AK30">
        <f t="shared" si="11"/>
        <v>7.8828842863875096E-4</v>
      </c>
      <c r="AL30">
        <v>51.337913999999998</v>
      </c>
      <c r="AM30">
        <f t="shared" si="12"/>
        <v>6.5125799307561101</v>
      </c>
    </row>
    <row r="31" spans="1:39" x14ac:dyDescent="0.2">
      <c r="A31" s="8" t="s">
        <v>30</v>
      </c>
      <c r="B31" s="4">
        <v>380</v>
      </c>
      <c r="C31" s="8">
        <v>190</v>
      </c>
      <c r="D31" s="4">
        <v>394</v>
      </c>
      <c r="E31" s="8">
        <v>197</v>
      </c>
      <c r="F31" s="8">
        <v>3</v>
      </c>
      <c r="G31" s="9">
        <v>1.1406000000000001E-3</v>
      </c>
      <c r="H31" s="6">
        <v>106.26390000000001</v>
      </c>
      <c r="I31" s="9">
        <f t="shared" si="0"/>
        <v>9.3164913203577076</v>
      </c>
      <c r="K31" s="1" t="s">
        <v>33</v>
      </c>
      <c r="L31" s="1">
        <v>200</v>
      </c>
      <c r="M31" s="1">
        <f t="shared" si="1"/>
        <v>100</v>
      </c>
      <c r="N31" s="1">
        <v>240</v>
      </c>
      <c r="O31" s="1">
        <f t="shared" si="2"/>
        <v>120</v>
      </c>
      <c r="P31" s="3">
        <v>20</v>
      </c>
      <c r="Q31">
        <f t="shared" si="3"/>
        <v>3.0159289474462013E-4</v>
      </c>
      <c r="R31">
        <v>43.508248999999999</v>
      </c>
      <c r="S31">
        <f t="shared" si="4"/>
        <v>14.426151861714612</v>
      </c>
      <c r="U31" s="1" t="s">
        <v>33</v>
      </c>
      <c r="V31" s="4">
        <v>200</v>
      </c>
      <c r="W31" s="4">
        <f t="shared" si="5"/>
        <v>100</v>
      </c>
      <c r="X31" s="4">
        <v>240</v>
      </c>
      <c r="Y31" s="4">
        <f t="shared" si="6"/>
        <v>120</v>
      </c>
      <c r="Z31" s="1">
        <v>20</v>
      </c>
      <c r="AA31">
        <f t="shared" si="7"/>
        <v>3.0159289474462013E-4</v>
      </c>
      <c r="AB31">
        <v>43.692112999999999</v>
      </c>
      <c r="AC31">
        <f t="shared" si="8"/>
        <v>14.487116162665961</v>
      </c>
      <c r="AE31" s="1" t="s">
        <v>133</v>
      </c>
      <c r="AF31" s="4">
        <v>380</v>
      </c>
      <c r="AG31" s="4">
        <f t="shared" si="9"/>
        <v>190</v>
      </c>
      <c r="AH31" s="4">
        <v>394</v>
      </c>
      <c r="AI31" s="4">
        <f t="shared" si="10"/>
        <v>197</v>
      </c>
      <c r="AJ31" s="3">
        <v>80</v>
      </c>
      <c r="AK31">
        <f t="shared" si="11"/>
        <v>2.3517962604773188E-4</v>
      </c>
      <c r="AL31">
        <v>72.713389000000006</v>
      </c>
      <c r="AM31">
        <f t="shared" si="12"/>
        <v>30.918234807143609</v>
      </c>
    </row>
    <row r="32" spans="1:39" x14ac:dyDescent="0.2">
      <c r="A32" s="8" t="s">
        <v>31</v>
      </c>
      <c r="B32" s="8">
        <v>390</v>
      </c>
      <c r="C32" s="8">
        <v>195</v>
      </c>
      <c r="D32" s="8">
        <v>400</v>
      </c>
      <c r="E32" s="8">
        <v>200</v>
      </c>
      <c r="F32" s="8">
        <v>15</v>
      </c>
      <c r="G32" s="9">
        <v>1.0414000000000001E-3</v>
      </c>
      <c r="H32" s="6">
        <v>108.36279999999999</v>
      </c>
      <c r="I32" s="9">
        <f t="shared" si="0"/>
        <v>10.405492606107163</v>
      </c>
      <c r="K32" s="1" t="s">
        <v>34</v>
      </c>
      <c r="L32" s="1">
        <v>150</v>
      </c>
      <c r="M32" s="1">
        <f t="shared" si="1"/>
        <v>75</v>
      </c>
      <c r="N32" s="1">
        <v>260</v>
      </c>
      <c r="O32" s="1">
        <f t="shared" si="2"/>
        <v>130</v>
      </c>
      <c r="P32" s="3">
        <v>50</v>
      </c>
      <c r="Q32">
        <f t="shared" si="3"/>
        <v>1.531526418625024E-4</v>
      </c>
      <c r="R32">
        <v>30.301037999999998</v>
      </c>
      <c r="S32">
        <f t="shared" si="4"/>
        <v>19.784861450319422</v>
      </c>
      <c r="U32" s="1" t="s">
        <v>113</v>
      </c>
      <c r="V32" s="4">
        <v>150</v>
      </c>
      <c r="W32" s="4">
        <f t="shared" si="5"/>
        <v>75</v>
      </c>
      <c r="X32" s="4">
        <v>260</v>
      </c>
      <c r="Y32" s="4">
        <f t="shared" si="6"/>
        <v>130</v>
      </c>
      <c r="Z32" s="3">
        <v>35</v>
      </c>
      <c r="AA32">
        <f t="shared" si="7"/>
        <v>1.9909843442125316E-4</v>
      </c>
      <c r="AB32">
        <v>42.563446999999996</v>
      </c>
      <c r="AC32">
        <f t="shared" si="8"/>
        <v>21.37809226060719</v>
      </c>
      <c r="AE32" s="1" t="s">
        <v>114</v>
      </c>
      <c r="AF32" s="4">
        <v>390</v>
      </c>
      <c r="AG32" s="4">
        <f t="shared" si="9"/>
        <v>195</v>
      </c>
      <c r="AH32" s="4">
        <v>400</v>
      </c>
      <c r="AI32" s="4">
        <f t="shared" si="10"/>
        <v>200</v>
      </c>
      <c r="AJ32" s="3">
        <v>50</v>
      </c>
      <c r="AK32">
        <f t="shared" si="11"/>
        <v>6.1261056745000959E-4</v>
      </c>
      <c r="AL32">
        <v>67.257564000000002</v>
      </c>
      <c r="AM32">
        <f t="shared" si="12"/>
        <v>10.978844893250781</v>
      </c>
    </row>
    <row r="33" spans="1:39" x14ac:dyDescent="0.2">
      <c r="A33" s="8" t="s">
        <v>32</v>
      </c>
      <c r="B33" s="4">
        <v>380</v>
      </c>
      <c r="C33" s="8">
        <v>190</v>
      </c>
      <c r="D33" s="4">
        <v>394</v>
      </c>
      <c r="E33" s="8">
        <v>197</v>
      </c>
      <c r="F33" s="8">
        <v>4</v>
      </c>
      <c r="G33" s="9">
        <v>1.1289E-3</v>
      </c>
      <c r="H33" s="6">
        <v>115.9759</v>
      </c>
      <c r="I33" s="9">
        <f t="shared" si="0"/>
        <v>10.273354592966605</v>
      </c>
      <c r="K33" s="1" t="s">
        <v>79</v>
      </c>
      <c r="L33" s="1">
        <v>250</v>
      </c>
      <c r="M33" s="1">
        <f t="shared" si="1"/>
        <v>125</v>
      </c>
      <c r="N33" s="1">
        <v>240</v>
      </c>
      <c r="O33" s="1">
        <f t="shared" si="2"/>
        <v>120</v>
      </c>
      <c r="P33" s="1">
        <v>8</v>
      </c>
      <c r="Q33">
        <f t="shared" si="3"/>
        <v>4.3353978619539143E-4</v>
      </c>
      <c r="R33">
        <v>44.087145999999997</v>
      </c>
      <c r="S33">
        <f t="shared" si="4"/>
        <v>10.169111902484175</v>
      </c>
      <c r="U33" s="1" t="s">
        <v>114</v>
      </c>
      <c r="V33" s="4">
        <v>250</v>
      </c>
      <c r="W33" s="4">
        <f t="shared" si="5"/>
        <v>125</v>
      </c>
      <c r="X33" s="4">
        <v>240</v>
      </c>
      <c r="Y33" s="4">
        <f t="shared" si="6"/>
        <v>120</v>
      </c>
      <c r="Z33" s="3">
        <v>40</v>
      </c>
      <c r="AA33">
        <f t="shared" si="7"/>
        <v>2.8274333882308131E-4</v>
      </c>
      <c r="AB33">
        <v>77.641289999999998</v>
      </c>
      <c r="AC33">
        <f t="shared" si="8"/>
        <v>27.459989092291877</v>
      </c>
      <c r="AE33" s="1" t="s">
        <v>134</v>
      </c>
      <c r="AF33" s="4">
        <v>380</v>
      </c>
      <c r="AG33" s="4">
        <f t="shared" si="9"/>
        <v>190</v>
      </c>
      <c r="AH33" s="4">
        <v>394</v>
      </c>
      <c r="AI33" s="4">
        <f t="shared" si="10"/>
        <v>197</v>
      </c>
      <c r="AJ33" s="1">
        <v>4</v>
      </c>
      <c r="AK33">
        <f t="shared" si="11"/>
        <v>1.1288622050291133E-3</v>
      </c>
      <c r="AL33">
        <v>57.742182999999997</v>
      </c>
      <c r="AM33">
        <f t="shared" si="12"/>
        <v>5.1150780620306824</v>
      </c>
    </row>
    <row r="34" spans="1:39" x14ac:dyDescent="0.2">
      <c r="A34" s="8" t="s">
        <v>33</v>
      </c>
      <c r="B34" s="4">
        <v>380</v>
      </c>
      <c r="C34" s="8">
        <v>190</v>
      </c>
      <c r="D34" s="4">
        <v>394</v>
      </c>
      <c r="E34" s="8">
        <v>197</v>
      </c>
      <c r="F34" s="8">
        <v>2</v>
      </c>
      <c r="G34" s="9">
        <v>1.1524E-3</v>
      </c>
      <c r="H34" s="6">
        <v>111.7234</v>
      </c>
      <c r="I34" s="9">
        <f t="shared" si="0"/>
        <v>9.6948455397431452</v>
      </c>
      <c r="K34" s="1" t="s">
        <v>80</v>
      </c>
      <c r="L34" s="1">
        <v>250</v>
      </c>
      <c r="M34" s="1">
        <f t="shared" si="1"/>
        <v>125</v>
      </c>
      <c r="N34" s="1">
        <v>260</v>
      </c>
      <c r="O34" s="1">
        <f t="shared" si="2"/>
        <v>130</v>
      </c>
      <c r="P34" s="1">
        <v>0</v>
      </c>
      <c r="Q34">
        <f t="shared" si="3"/>
        <v>5.1050880620834131E-4</v>
      </c>
      <c r="R34">
        <v>46.415474000000003</v>
      </c>
      <c r="S34">
        <f t="shared" si="4"/>
        <v>9.0920026129887379</v>
      </c>
      <c r="U34" s="1" t="s">
        <v>115</v>
      </c>
      <c r="V34" s="4">
        <v>250</v>
      </c>
      <c r="W34" s="4">
        <f t="shared" si="5"/>
        <v>125</v>
      </c>
      <c r="X34" s="4">
        <v>260</v>
      </c>
      <c r="Y34" s="4">
        <f t="shared" si="6"/>
        <v>130</v>
      </c>
      <c r="Z34" s="3">
        <v>70</v>
      </c>
      <c r="AA34">
        <f t="shared" si="7"/>
        <v>1.5315264186250243E-4</v>
      </c>
      <c r="AB34">
        <v>28.73911</v>
      </c>
      <c r="AC34">
        <f t="shared" si="8"/>
        <v>18.765010939740392</v>
      </c>
      <c r="AE34" s="1" t="s">
        <v>81</v>
      </c>
      <c r="AF34" s="4">
        <v>380</v>
      </c>
      <c r="AG34" s="4">
        <f t="shared" si="9"/>
        <v>190</v>
      </c>
      <c r="AH34" s="4">
        <v>394</v>
      </c>
      <c r="AI34" s="4">
        <f t="shared" si="10"/>
        <v>197</v>
      </c>
      <c r="AJ34" s="3">
        <v>40</v>
      </c>
      <c r="AK34">
        <f t="shared" si="11"/>
        <v>7.0553887814319577E-4</v>
      </c>
      <c r="AL34">
        <v>46.972526000000002</v>
      </c>
      <c r="AM34">
        <f t="shared" si="12"/>
        <v>6.6576807395249569</v>
      </c>
    </row>
    <row r="35" spans="1:39" x14ac:dyDescent="0.2">
      <c r="A35" s="8" t="s">
        <v>34</v>
      </c>
      <c r="B35" s="8">
        <v>410</v>
      </c>
      <c r="C35" s="8">
        <v>205</v>
      </c>
      <c r="D35" s="8">
        <v>420</v>
      </c>
      <c r="E35" s="8">
        <v>210</v>
      </c>
      <c r="F35" s="8">
        <v>2</v>
      </c>
      <c r="G35" s="9">
        <v>1.3254E-3</v>
      </c>
      <c r="H35" s="6">
        <v>122.1617</v>
      </c>
      <c r="I35" s="9">
        <f t="shared" si="0"/>
        <v>9.2169684623509891</v>
      </c>
      <c r="K35" s="1" t="s">
        <v>81</v>
      </c>
      <c r="L35" s="4">
        <v>250</v>
      </c>
      <c r="M35" s="1">
        <f t="shared" si="1"/>
        <v>125</v>
      </c>
      <c r="N35" s="4">
        <v>240</v>
      </c>
      <c r="O35" s="1">
        <f t="shared" si="2"/>
        <v>120</v>
      </c>
      <c r="P35" s="1">
        <v>2</v>
      </c>
      <c r="Q35">
        <f t="shared" si="3"/>
        <v>4.6181412007769953E-4</v>
      </c>
      <c r="R35">
        <v>43.277054999999997</v>
      </c>
      <c r="S35">
        <f t="shared" si="4"/>
        <v>9.371098266271872</v>
      </c>
      <c r="U35" s="1" t="s">
        <v>116</v>
      </c>
      <c r="V35" s="4">
        <v>250</v>
      </c>
      <c r="W35" s="4">
        <f t="shared" si="5"/>
        <v>125</v>
      </c>
      <c r="X35" s="4">
        <v>240</v>
      </c>
      <c r="Y35" s="4">
        <f t="shared" si="6"/>
        <v>120</v>
      </c>
      <c r="Z35" s="1">
        <v>10</v>
      </c>
      <c r="AA35">
        <f t="shared" si="7"/>
        <v>4.24115008234622E-4</v>
      </c>
      <c r="AB35">
        <v>33.452201000000002</v>
      </c>
      <c r="AC35">
        <f t="shared" si="8"/>
        <v>7.8875305873387349</v>
      </c>
      <c r="AE35" s="1" t="s">
        <v>38</v>
      </c>
      <c r="AF35" s="4">
        <v>410</v>
      </c>
      <c r="AG35" s="4">
        <f t="shared" si="9"/>
        <v>205</v>
      </c>
      <c r="AH35" s="4">
        <v>420</v>
      </c>
      <c r="AI35" s="4">
        <f t="shared" si="10"/>
        <v>210</v>
      </c>
      <c r="AJ35" s="1">
        <v>3</v>
      </c>
      <c r="AK35">
        <f t="shared" si="11"/>
        <v>1.3118819682492937E-3</v>
      </c>
      <c r="AL35">
        <v>67.721773999999996</v>
      </c>
      <c r="AM35">
        <f t="shared" si="12"/>
        <v>5.1621849860757445</v>
      </c>
    </row>
    <row r="36" spans="1:39" x14ac:dyDescent="0.2">
      <c r="A36" s="8" t="s">
        <v>35</v>
      </c>
      <c r="B36" s="4">
        <v>380</v>
      </c>
      <c r="C36" s="8">
        <v>190</v>
      </c>
      <c r="D36" s="4">
        <v>394</v>
      </c>
      <c r="E36" s="8">
        <v>197</v>
      </c>
      <c r="F36" s="8">
        <v>10</v>
      </c>
      <c r="G36" s="9">
        <v>1.0583000000000001E-3</v>
      </c>
      <c r="H36" s="6">
        <v>112.4843</v>
      </c>
      <c r="I36" s="9">
        <f t="shared" si="0"/>
        <v>10.628772559765661</v>
      </c>
      <c r="K36" s="1" t="s">
        <v>37</v>
      </c>
      <c r="L36" s="4">
        <v>250</v>
      </c>
      <c r="M36" s="1">
        <f t="shared" si="1"/>
        <v>125</v>
      </c>
      <c r="N36" s="4">
        <v>240</v>
      </c>
      <c r="O36" s="1">
        <f t="shared" si="2"/>
        <v>120</v>
      </c>
      <c r="P36" s="1">
        <v>2</v>
      </c>
      <c r="Q36">
        <f t="shared" si="3"/>
        <v>4.6181412007769953E-4</v>
      </c>
      <c r="R36">
        <v>44.245522999999999</v>
      </c>
      <c r="S36">
        <f t="shared" si="4"/>
        <v>9.5808077484845544</v>
      </c>
      <c r="U36" s="1" t="s">
        <v>81</v>
      </c>
      <c r="V36" s="4">
        <v>250</v>
      </c>
      <c r="W36" s="4">
        <f t="shared" si="5"/>
        <v>125</v>
      </c>
      <c r="X36" s="4">
        <v>240</v>
      </c>
      <c r="Y36" s="4">
        <f t="shared" si="6"/>
        <v>120</v>
      </c>
      <c r="Z36" s="3">
        <v>35</v>
      </c>
      <c r="AA36">
        <f t="shared" si="7"/>
        <v>3.063052837250048E-4</v>
      </c>
      <c r="AB36">
        <v>85.940624999999997</v>
      </c>
      <c r="AC36">
        <f t="shared" si="8"/>
        <v>28.057180063911627</v>
      </c>
      <c r="AE36" s="1" t="s">
        <v>83</v>
      </c>
      <c r="AF36" s="4">
        <v>380</v>
      </c>
      <c r="AG36" s="4">
        <f t="shared" si="9"/>
        <v>190</v>
      </c>
      <c r="AH36" s="4">
        <v>394</v>
      </c>
      <c r="AI36" s="4">
        <f t="shared" si="10"/>
        <v>197</v>
      </c>
      <c r="AJ36" s="3">
        <v>80</v>
      </c>
      <c r="AK36">
        <f t="shared" si="11"/>
        <v>2.3517962604773188E-4</v>
      </c>
      <c r="AL36">
        <v>57.563780999999999</v>
      </c>
      <c r="AM36">
        <f t="shared" si="12"/>
        <v>24.476516936172395</v>
      </c>
    </row>
    <row r="37" spans="1:39" x14ac:dyDescent="0.2">
      <c r="A37" s="8" t="s">
        <v>36</v>
      </c>
      <c r="B37" s="4">
        <v>380</v>
      </c>
      <c r="C37" s="8">
        <v>190</v>
      </c>
      <c r="D37" s="4">
        <v>394</v>
      </c>
      <c r="E37" s="8">
        <v>197</v>
      </c>
      <c r="F37" s="8">
        <v>8</v>
      </c>
      <c r="G37" s="9">
        <v>1.0817999999999999E-3</v>
      </c>
      <c r="H37" s="6">
        <v>114.4522</v>
      </c>
      <c r="I37" s="9">
        <f t="shared" si="0"/>
        <v>10.579792937696434</v>
      </c>
      <c r="K37" s="1" t="s">
        <v>38</v>
      </c>
      <c r="L37" s="4">
        <v>250</v>
      </c>
      <c r="M37" s="1">
        <f t="shared" si="1"/>
        <v>125</v>
      </c>
      <c r="N37" s="4">
        <v>240</v>
      </c>
      <c r="O37" s="1">
        <f t="shared" si="2"/>
        <v>120</v>
      </c>
      <c r="P37" s="1">
        <v>2</v>
      </c>
      <c r="Q37">
        <f t="shared" si="3"/>
        <v>4.6181412007769953E-4</v>
      </c>
      <c r="R37">
        <v>41.676898000000001</v>
      </c>
      <c r="S37">
        <f t="shared" si="4"/>
        <v>9.0246045298458899</v>
      </c>
      <c r="U37" s="1" t="s">
        <v>37</v>
      </c>
      <c r="V37" s="4">
        <v>250</v>
      </c>
      <c r="W37" s="4">
        <f t="shared" si="5"/>
        <v>125</v>
      </c>
      <c r="X37" s="4">
        <v>240</v>
      </c>
      <c r="Y37" s="4">
        <f t="shared" si="6"/>
        <v>120</v>
      </c>
      <c r="Z37" s="3">
        <v>85</v>
      </c>
      <c r="AA37">
        <f t="shared" si="7"/>
        <v>7.0685834705770355E-5</v>
      </c>
      <c r="AB37">
        <v>22.981093999999999</v>
      </c>
      <c r="AC37">
        <f t="shared" si="8"/>
        <v>32.511597402306641</v>
      </c>
      <c r="AE37" s="1" t="s">
        <v>85</v>
      </c>
      <c r="AF37" s="4">
        <v>380</v>
      </c>
      <c r="AG37" s="4">
        <f t="shared" si="9"/>
        <v>190</v>
      </c>
      <c r="AH37" s="4">
        <v>394</v>
      </c>
      <c r="AI37" s="4">
        <f t="shared" si="10"/>
        <v>197</v>
      </c>
      <c r="AJ37" s="1">
        <v>2</v>
      </c>
      <c r="AK37">
        <f t="shared" si="11"/>
        <v>1.1523801676338865E-3</v>
      </c>
      <c r="AL37">
        <v>57.727618999999997</v>
      </c>
      <c r="AM37">
        <f t="shared" si="12"/>
        <v>5.0094248947835229</v>
      </c>
    </row>
    <row r="38" spans="1:39" x14ac:dyDescent="0.2">
      <c r="A38" s="8" t="s">
        <v>37</v>
      </c>
      <c r="B38" s="8">
        <v>380</v>
      </c>
      <c r="C38" s="8">
        <v>190</v>
      </c>
      <c r="D38" s="8">
        <v>410</v>
      </c>
      <c r="E38" s="8">
        <v>205</v>
      </c>
      <c r="F38" s="8">
        <v>2</v>
      </c>
      <c r="G38" s="9">
        <v>1.1992000000000001E-3</v>
      </c>
      <c r="H38" s="6">
        <v>114.0626</v>
      </c>
      <c r="I38" s="9">
        <f t="shared" si="0"/>
        <v>9.5115577051367577</v>
      </c>
      <c r="K38" s="1" t="s">
        <v>82</v>
      </c>
      <c r="L38" s="4">
        <v>250</v>
      </c>
      <c r="M38" s="1">
        <f t="shared" si="1"/>
        <v>125</v>
      </c>
      <c r="N38" s="4">
        <v>240</v>
      </c>
      <c r="O38" s="1">
        <f t="shared" si="2"/>
        <v>120</v>
      </c>
      <c r="P38" s="1">
        <v>2</v>
      </c>
      <c r="Q38">
        <f t="shared" si="3"/>
        <v>4.6181412007769953E-4</v>
      </c>
      <c r="R38">
        <v>43.04222</v>
      </c>
      <c r="S38">
        <f t="shared" si="4"/>
        <v>9.3202477206106664</v>
      </c>
      <c r="U38" s="1" t="s">
        <v>38</v>
      </c>
      <c r="V38" s="4">
        <v>250</v>
      </c>
      <c r="W38" s="4">
        <f t="shared" si="5"/>
        <v>125</v>
      </c>
      <c r="X38" s="4">
        <v>240</v>
      </c>
      <c r="Y38" s="4">
        <f t="shared" si="6"/>
        <v>120</v>
      </c>
      <c r="Z38" s="3">
        <v>15</v>
      </c>
      <c r="AA38">
        <f t="shared" si="7"/>
        <v>4.0055306333269857E-4</v>
      </c>
      <c r="AB38">
        <v>73.792903999999993</v>
      </c>
      <c r="AC38">
        <f t="shared" si="8"/>
        <v>18.422753626205015</v>
      </c>
      <c r="AE38" s="1" t="s">
        <v>41</v>
      </c>
      <c r="AF38" s="4">
        <v>380</v>
      </c>
      <c r="AG38" s="4">
        <f t="shared" si="9"/>
        <v>190</v>
      </c>
      <c r="AH38" s="4">
        <v>410</v>
      </c>
      <c r="AI38" s="4">
        <f t="shared" si="10"/>
        <v>205</v>
      </c>
      <c r="AJ38" s="1">
        <v>10</v>
      </c>
      <c r="AK38">
        <f t="shared" si="11"/>
        <v>1.1012853047159021E-3</v>
      </c>
      <c r="AL38">
        <v>51.794842000000003</v>
      </c>
      <c r="AM38">
        <f t="shared" si="12"/>
        <v>4.7031265901946719</v>
      </c>
    </row>
    <row r="39" spans="1:39" x14ac:dyDescent="0.2">
      <c r="A39" s="8" t="s">
        <v>38</v>
      </c>
      <c r="B39" s="4">
        <v>395</v>
      </c>
      <c r="C39" s="8">
        <v>197.5</v>
      </c>
      <c r="D39" s="4">
        <v>410</v>
      </c>
      <c r="E39" s="8">
        <v>205</v>
      </c>
      <c r="F39" s="8">
        <v>6</v>
      </c>
      <c r="G39" s="9">
        <v>1.1956E-3</v>
      </c>
      <c r="H39" s="6">
        <v>113.55110000000001</v>
      </c>
      <c r="I39" s="9">
        <f t="shared" si="0"/>
        <v>9.4974155235864846</v>
      </c>
      <c r="K39" s="1" t="s">
        <v>83</v>
      </c>
      <c r="L39" s="1">
        <v>250</v>
      </c>
      <c r="M39" s="1">
        <f t="shared" si="1"/>
        <v>125</v>
      </c>
      <c r="N39" s="1">
        <v>240</v>
      </c>
      <c r="O39" s="1">
        <f t="shared" si="2"/>
        <v>120</v>
      </c>
      <c r="P39" s="1">
        <v>3</v>
      </c>
      <c r="Q39">
        <f t="shared" si="3"/>
        <v>4.5710173109731486E-4</v>
      </c>
      <c r="R39">
        <v>41.937218999999999</v>
      </c>
      <c r="S39">
        <f t="shared" si="4"/>
        <v>9.1745920321338179</v>
      </c>
      <c r="U39" s="1" t="s">
        <v>39</v>
      </c>
      <c r="V39" s="4">
        <v>250</v>
      </c>
      <c r="W39" s="4">
        <f t="shared" si="5"/>
        <v>125</v>
      </c>
      <c r="X39" s="4">
        <v>240</v>
      </c>
      <c r="Y39" s="4">
        <f t="shared" si="6"/>
        <v>120</v>
      </c>
      <c r="Z39" s="3">
        <v>50</v>
      </c>
      <c r="AA39">
        <f t="shared" si="7"/>
        <v>2.3561944901923445E-4</v>
      </c>
      <c r="AB39">
        <v>33.379382999999997</v>
      </c>
      <c r="AC39">
        <f t="shared" si="8"/>
        <v>14.166650138153546</v>
      </c>
      <c r="AE39" s="1" t="s">
        <v>135</v>
      </c>
      <c r="AF39" s="4">
        <v>395</v>
      </c>
      <c r="AG39" s="4">
        <f t="shared" si="9"/>
        <v>197.5</v>
      </c>
      <c r="AH39" s="4">
        <v>410</v>
      </c>
      <c r="AI39" s="4">
        <f t="shared" si="10"/>
        <v>205</v>
      </c>
      <c r="AJ39" s="1">
        <v>10</v>
      </c>
      <c r="AK39">
        <f t="shared" si="11"/>
        <v>1.144757093059951E-3</v>
      </c>
      <c r="AL39">
        <v>66.844327000000007</v>
      </c>
      <c r="AM39">
        <f t="shared" si="12"/>
        <v>5.8391712447331718</v>
      </c>
    </row>
    <row r="40" spans="1:39" x14ac:dyDescent="0.2">
      <c r="A40" s="8" t="s">
        <v>39</v>
      </c>
      <c r="B40" s="8">
        <v>370</v>
      </c>
      <c r="C40" s="8">
        <v>185</v>
      </c>
      <c r="D40" s="8">
        <v>400</v>
      </c>
      <c r="E40" s="8">
        <v>200</v>
      </c>
      <c r="F40" s="8">
        <v>10</v>
      </c>
      <c r="G40" s="9">
        <v>1.0462E-3</v>
      </c>
      <c r="H40" s="6">
        <v>111.92</v>
      </c>
      <c r="I40" s="9">
        <f t="shared" si="0"/>
        <v>10.697763333970562</v>
      </c>
      <c r="K40" s="1" t="s">
        <v>84</v>
      </c>
      <c r="L40" s="1">
        <v>190</v>
      </c>
      <c r="M40" s="1">
        <f t="shared" si="1"/>
        <v>95</v>
      </c>
      <c r="N40" s="1">
        <v>240</v>
      </c>
      <c r="O40" s="1">
        <f t="shared" si="2"/>
        <v>120</v>
      </c>
      <c r="P40" s="3">
        <v>25</v>
      </c>
      <c r="Q40">
        <f t="shared" si="3"/>
        <v>2.6860617188192732E-4</v>
      </c>
      <c r="R40">
        <v>41.848018000000003</v>
      </c>
      <c r="S40">
        <f t="shared" si="4"/>
        <v>15.579693387833011</v>
      </c>
      <c r="U40" s="1" t="s">
        <v>83</v>
      </c>
      <c r="V40" s="4">
        <v>190</v>
      </c>
      <c r="W40" s="4">
        <f t="shared" si="5"/>
        <v>95</v>
      </c>
      <c r="X40" s="4">
        <v>240</v>
      </c>
      <c r="Y40" s="4">
        <f t="shared" si="6"/>
        <v>120</v>
      </c>
      <c r="Z40" s="3">
        <v>55</v>
      </c>
      <c r="AA40">
        <f t="shared" si="7"/>
        <v>1.6116370312915635E-4</v>
      </c>
      <c r="AB40">
        <v>27.978171</v>
      </c>
      <c r="AC40">
        <f t="shared" si="8"/>
        <v>17.36009439890962</v>
      </c>
      <c r="AE40" s="1" t="s">
        <v>136</v>
      </c>
      <c r="AF40" s="4">
        <v>370</v>
      </c>
      <c r="AG40" s="4">
        <f t="shared" si="9"/>
        <v>185</v>
      </c>
      <c r="AH40" s="4">
        <v>400</v>
      </c>
      <c r="AI40" s="4">
        <f t="shared" si="10"/>
        <v>200</v>
      </c>
      <c r="AJ40" s="3">
        <v>50</v>
      </c>
      <c r="AK40">
        <f t="shared" si="11"/>
        <v>5.8119464091411165E-4</v>
      </c>
      <c r="AL40">
        <v>30.475798999999999</v>
      </c>
      <c r="AM40">
        <f t="shared" si="12"/>
        <v>5.2436476275946395</v>
      </c>
    </row>
    <row r="41" spans="1:39" x14ac:dyDescent="0.2">
      <c r="A41" s="11" t="s">
        <v>40</v>
      </c>
      <c r="B41" s="8">
        <v>400</v>
      </c>
      <c r="C41" s="8">
        <v>200</v>
      </c>
      <c r="D41" s="8">
        <v>410</v>
      </c>
      <c r="E41" s="8">
        <v>205</v>
      </c>
      <c r="F41" s="8">
        <v>4</v>
      </c>
      <c r="G41" s="9">
        <v>1.2365E-3</v>
      </c>
      <c r="H41" s="9"/>
      <c r="I41" s="9">
        <f t="shared" si="0"/>
        <v>0</v>
      </c>
      <c r="K41" s="1" t="s">
        <v>85</v>
      </c>
      <c r="L41" s="1">
        <v>260</v>
      </c>
      <c r="M41" s="1">
        <f t="shared" si="1"/>
        <v>130</v>
      </c>
      <c r="N41" s="1">
        <v>250</v>
      </c>
      <c r="O41" s="1">
        <f t="shared" si="2"/>
        <v>125</v>
      </c>
      <c r="P41" s="1">
        <v>5</v>
      </c>
      <c r="Q41">
        <f t="shared" si="3"/>
        <v>4.8498336589792424E-4</v>
      </c>
      <c r="R41">
        <v>47.798999999999999</v>
      </c>
      <c r="S41">
        <f t="shared" si="4"/>
        <v>9.8558019431248667</v>
      </c>
      <c r="U41" s="1" t="s">
        <v>84</v>
      </c>
      <c r="V41" s="4">
        <v>260</v>
      </c>
      <c r="W41" s="4">
        <f t="shared" si="5"/>
        <v>130</v>
      </c>
      <c r="X41" s="4">
        <v>250</v>
      </c>
      <c r="Y41" s="4">
        <f t="shared" si="6"/>
        <v>125</v>
      </c>
      <c r="Z41" s="3">
        <v>60</v>
      </c>
      <c r="AA41">
        <f t="shared" si="7"/>
        <v>2.0420352248333657E-4</v>
      </c>
      <c r="AB41">
        <v>43.113216000000001</v>
      </c>
      <c r="AC41">
        <f t="shared" si="8"/>
        <v>21.112865966118743</v>
      </c>
      <c r="AE41" s="1" t="s">
        <v>137</v>
      </c>
      <c r="AF41" s="4">
        <v>400</v>
      </c>
      <c r="AG41" s="4">
        <f t="shared" si="9"/>
        <v>200</v>
      </c>
      <c r="AH41" s="4">
        <v>410</v>
      </c>
      <c r="AI41" s="4">
        <f t="shared" si="10"/>
        <v>205</v>
      </c>
      <c r="AJ41" s="1">
        <v>14</v>
      </c>
      <c r="AK41">
        <f t="shared" si="11"/>
        <v>1.1077255696557611E-3</v>
      </c>
      <c r="AL41">
        <v>53.719034999999998</v>
      </c>
      <c r="AM41">
        <f t="shared" si="12"/>
        <v>4.8494894829135182</v>
      </c>
    </row>
    <row r="42" spans="1:39" x14ac:dyDescent="0.2">
      <c r="A42" s="8" t="s">
        <v>41</v>
      </c>
      <c r="B42" s="8">
        <v>430</v>
      </c>
      <c r="C42" s="8">
        <v>215</v>
      </c>
      <c r="D42" s="8">
        <v>420</v>
      </c>
      <c r="E42" s="8">
        <v>210</v>
      </c>
      <c r="F42" s="8">
        <v>15</v>
      </c>
      <c r="G42" s="9">
        <v>1.2057000000000001E-3</v>
      </c>
      <c r="H42" s="6">
        <v>133.64680000000001</v>
      </c>
      <c r="I42" s="9">
        <f t="shared" si="0"/>
        <v>11.084581570871693</v>
      </c>
      <c r="K42" s="1" t="s">
        <v>41</v>
      </c>
      <c r="L42" s="1">
        <v>160</v>
      </c>
      <c r="M42" s="1">
        <f t="shared" si="1"/>
        <v>80</v>
      </c>
      <c r="N42" s="1">
        <v>270</v>
      </c>
      <c r="O42" s="1">
        <f t="shared" si="2"/>
        <v>135</v>
      </c>
      <c r="P42" s="3">
        <v>45</v>
      </c>
      <c r="Q42">
        <f t="shared" si="3"/>
        <v>1.8661060362323373E-4</v>
      </c>
      <c r="R42">
        <v>12.493603</v>
      </c>
      <c r="S42">
        <f t="shared" si="4"/>
        <v>6.6950123719788985</v>
      </c>
      <c r="U42" s="1" t="s">
        <v>85</v>
      </c>
      <c r="V42" s="4">
        <v>160</v>
      </c>
      <c r="W42" s="4">
        <f t="shared" si="5"/>
        <v>80</v>
      </c>
      <c r="X42" s="4">
        <v>270</v>
      </c>
      <c r="Y42" s="4">
        <f t="shared" si="6"/>
        <v>135</v>
      </c>
      <c r="Z42" s="3">
        <v>45</v>
      </c>
      <c r="AA42">
        <f t="shared" si="7"/>
        <v>1.8661060362323373E-4</v>
      </c>
      <c r="AB42">
        <v>40.202351</v>
      </c>
      <c r="AC42">
        <f t="shared" si="8"/>
        <v>21.543444059142765</v>
      </c>
      <c r="AE42" s="1" t="s">
        <v>45</v>
      </c>
      <c r="AF42" s="4">
        <v>430</v>
      </c>
      <c r="AG42" s="4">
        <f t="shared" si="9"/>
        <v>215</v>
      </c>
      <c r="AH42" s="4">
        <v>420</v>
      </c>
      <c r="AI42" s="4">
        <f t="shared" si="10"/>
        <v>210</v>
      </c>
      <c r="AJ42" s="1">
        <v>10</v>
      </c>
      <c r="AK42">
        <f t="shared" si="11"/>
        <v>1.2765861747862125E-3</v>
      </c>
      <c r="AL42">
        <v>65.535438999999997</v>
      </c>
      <c r="AM42">
        <f t="shared" si="12"/>
        <v>5.1336478723009122</v>
      </c>
    </row>
    <row r="43" spans="1:39" x14ac:dyDescent="0.2">
      <c r="A43" s="8" t="s">
        <v>43</v>
      </c>
      <c r="B43" s="8">
        <v>320</v>
      </c>
      <c r="C43" s="8">
        <v>160</v>
      </c>
      <c r="D43" s="8">
        <v>390</v>
      </c>
      <c r="E43" s="8">
        <v>195</v>
      </c>
      <c r="F43" s="8">
        <v>3</v>
      </c>
      <c r="G43" s="9">
        <v>9.5080000000000002E-4</v>
      </c>
      <c r="H43" s="6">
        <v>21.947089999999999</v>
      </c>
      <c r="I43" s="9">
        <f t="shared" si="0"/>
        <v>2.3082761884728651</v>
      </c>
      <c r="K43" s="1" t="s">
        <v>44</v>
      </c>
      <c r="L43" s="1">
        <v>250</v>
      </c>
      <c r="M43" s="1">
        <f t="shared" si="1"/>
        <v>125</v>
      </c>
      <c r="N43" s="1">
        <v>250</v>
      </c>
      <c r="O43" s="1">
        <f t="shared" si="2"/>
        <v>125</v>
      </c>
      <c r="P43" s="1">
        <v>8</v>
      </c>
      <c r="Q43">
        <f t="shared" si="3"/>
        <v>4.5160394395353282E-4</v>
      </c>
      <c r="R43">
        <v>46.752254000000001</v>
      </c>
      <c r="S43">
        <f t="shared" si="4"/>
        <v>10.352490191009162</v>
      </c>
      <c r="U43" s="1" t="s">
        <v>41</v>
      </c>
      <c r="V43" s="4">
        <v>250</v>
      </c>
      <c r="W43" s="4">
        <f t="shared" si="5"/>
        <v>125</v>
      </c>
      <c r="X43" s="4">
        <v>250</v>
      </c>
      <c r="Y43" s="4">
        <f t="shared" si="6"/>
        <v>125</v>
      </c>
      <c r="Z43" s="3">
        <v>90</v>
      </c>
      <c r="AA43">
        <f t="shared" si="7"/>
        <v>4.9087385212340507E-5</v>
      </c>
      <c r="AB43">
        <v>33.559606000000002</v>
      </c>
      <c r="AC43">
        <f t="shared" si="8"/>
        <v>68.367067943890319</v>
      </c>
      <c r="AE43" s="1" t="s">
        <v>46</v>
      </c>
      <c r="AF43" s="4">
        <v>320</v>
      </c>
      <c r="AG43" s="4">
        <f t="shared" si="9"/>
        <v>160</v>
      </c>
      <c r="AH43" s="4">
        <v>390</v>
      </c>
      <c r="AI43" s="4">
        <f t="shared" si="10"/>
        <v>195</v>
      </c>
      <c r="AJ43" s="3">
        <v>65</v>
      </c>
      <c r="AK43">
        <f t="shared" si="11"/>
        <v>3.4306191777200539E-4</v>
      </c>
      <c r="AL43">
        <v>56.773713999999998</v>
      </c>
      <c r="AM43">
        <f t="shared" si="12"/>
        <v>16.549115788984508</v>
      </c>
    </row>
    <row r="44" spans="1:39" x14ac:dyDescent="0.2">
      <c r="A44" s="8" t="s">
        <v>42</v>
      </c>
      <c r="B44" s="4">
        <v>320</v>
      </c>
      <c r="C44" s="8">
        <v>160</v>
      </c>
      <c r="D44" s="4">
        <v>390</v>
      </c>
      <c r="E44" s="8">
        <v>195</v>
      </c>
      <c r="F44" s="8">
        <v>3</v>
      </c>
      <c r="G44" s="9">
        <v>9.5080000000000002E-4</v>
      </c>
      <c r="H44" s="6">
        <v>111.7543</v>
      </c>
      <c r="I44" s="9">
        <f t="shared" si="0"/>
        <v>11.753712663020615</v>
      </c>
      <c r="K44" s="1" t="s">
        <v>86</v>
      </c>
      <c r="L44" s="1">
        <v>260</v>
      </c>
      <c r="M44" s="1">
        <f t="shared" si="1"/>
        <v>130</v>
      </c>
      <c r="N44" s="1">
        <v>240</v>
      </c>
      <c r="O44" s="1">
        <f t="shared" si="2"/>
        <v>120</v>
      </c>
      <c r="P44" s="3">
        <v>40</v>
      </c>
      <c r="Q44">
        <f t="shared" si="3"/>
        <v>2.9405307237600462E-4</v>
      </c>
      <c r="R44">
        <v>27.748797</v>
      </c>
      <c r="S44">
        <f t="shared" si="4"/>
        <v>9.4366628363323866</v>
      </c>
      <c r="U44" s="1" t="s">
        <v>44</v>
      </c>
      <c r="V44" s="4">
        <v>260</v>
      </c>
      <c r="W44" s="4">
        <f t="shared" si="5"/>
        <v>130</v>
      </c>
      <c r="X44" s="4">
        <v>240</v>
      </c>
      <c r="Y44" s="4">
        <f t="shared" si="6"/>
        <v>120</v>
      </c>
      <c r="Z44" s="3">
        <v>80</v>
      </c>
      <c r="AA44">
        <f t="shared" si="7"/>
        <v>9.8017690792001516E-5</v>
      </c>
      <c r="AB44">
        <v>57.359893</v>
      </c>
      <c r="AC44">
        <f t="shared" si="8"/>
        <v>58.519939142129545</v>
      </c>
      <c r="AE44" s="1" t="s">
        <v>119</v>
      </c>
      <c r="AF44" s="4">
        <v>320</v>
      </c>
      <c r="AG44" s="4">
        <f t="shared" si="9"/>
        <v>160</v>
      </c>
      <c r="AH44" s="4">
        <v>390</v>
      </c>
      <c r="AI44" s="4">
        <f t="shared" si="10"/>
        <v>195</v>
      </c>
      <c r="AJ44" s="1">
        <v>0</v>
      </c>
      <c r="AK44">
        <f t="shared" si="11"/>
        <v>9.8017690792001557E-4</v>
      </c>
      <c r="AL44">
        <v>61.861812999999998</v>
      </c>
      <c r="AM44">
        <f t="shared" si="12"/>
        <v>6.311290594600302</v>
      </c>
    </row>
    <row r="45" spans="1:39" x14ac:dyDescent="0.2">
      <c r="A45" s="8" t="s">
        <v>44</v>
      </c>
      <c r="B45" s="8">
        <v>320</v>
      </c>
      <c r="C45" s="8">
        <v>160</v>
      </c>
      <c r="D45" s="8">
        <v>380</v>
      </c>
      <c r="E45" s="8">
        <v>190</v>
      </c>
      <c r="F45" s="8">
        <v>2</v>
      </c>
      <c r="G45" s="9">
        <v>9.3590000000000003E-4</v>
      </c>
      <c r="H45" s="6">
        <v>31.061979999999998</v>
      </c>
      <c r="I45" s="9">
        <f t="shared" si="0"/>
        <v>3.3189421946789186</v>
      </c>
      <c r="K45" s="1" t="s">
        <v>87</v>
      </c>
      <c r="L45" s="1">
        <v>260</v>
      </c>
      <c r="M45" s="1">
        <f t="shared" si="1"/>
        <v>130</v>
      </c>
      <c r="N45" s="1">
        <v>260</v>
      </c>
      <c r="O45" s="1">
        <f t="shared" si="2"/>
        <v>130</v>
      </c>
      <c r="P45" s="1">
        <v>10</v>
      </c>
      <c r="Q45">
        <f t="shared" si="3"/>
        <v>4.7783624261100749E-4</v>
      </c>
      <c r="R45">
        <v>49.231678000000002</v>
      </c>
      <c r="S45">
        <f t="shared" si="4"/>
        <v>10.303043932161101</v>
      </c>
      <c r="U45" s="1" t="s">
        <v>117</v>
      </c>
      <c r="V45" s="4">
        <v>260</v>
      </c>
      <c r="W45" s="4">
        <f t="shared" si="5"/>
        <v>130</v>
      </c>
      <c r="X45" s="4">
        <v>260</v>
      </c>
      <c r="Y45" s="4">
        <f t="shared" si="6"/>
        <v>130</v>
      </c>
      <c r="Z45" s="3">
        <v>40</v>
      </c>
      <c r="AA45">
        <f t="shared" si="7"/>
        <v>3.1855749507400498E-4</v>
      </c>
      <c r="AB45">
        <v>77.260821000000007</v>
      </c>
      <c r="AC45">
        <f t="shared" si="8"/>
        <v>24.253336428970641</v>
      </c>
      <c r="AE45" s="1" t="s">
        <v>90</v>
      </c>
      <c r="AF45" s="4">
        <v>320</v>
      </c>
      <c r="AG45" s="4">
        <f t="shared" si="9"/>
        <v>160</v>
      </c>
      <c r="AH45" s="4">
        <v>380</v>
      </c>
      <c r="AI45" s="4">
        <f t="shared" si="10"/>
        <v>190</v>
      </c>
      <c r="AJ45" s="3">
        <v>40</v>
      </c>
      <c r="AK45">
        <f t="shared" si="11"/>
        <v>5.7302650001477831E-4</v>
      </c>
      <c r="AL45">
        <v>53.766365999999998</v>
      </c>
      <c r="AM45">
        <f t="shared" si="12"/>
        <v>9.3828760098552806</v>
      </c>
    </row>
    <row r="46" spans="1:39" x14ac:dyDescent="0.2">
      <c r="A46" s="8" t="s">
        <v>45</v>
      </c>
      <c r="B46" s="8">
        <v>370</v>
      </c>
      <c r="C46" s="8">
        <v>185</v>
      </c>
      <c r="D46" s="8">
        <v>390</v>
      </c>
      <c r="E46" s="8">
        <v>195</v>
      </c>
      <c r="F46" s="8">
        <v>6</v>
      </c>
      <c r="G46" s="9">
        <v>1.0652999999999999E-3</v>
      </c>
      <c r="H46" s="6">
        <v>108.55759999999999</v>
      </c>
      <c r="I46" s="9">
        <f t="shared" si="0"/>
        <v>10.190331362057636</v>
      </c>
      <c r="K46" s="1" t="s">
        <v>88</v>
      </c>
      <c r="L46" s="1">
        <v>220</v>
      </c>
      <c r="M46" s="1">
        <f t="shared" si="1"/>
        <v>110</v>
      </c>
      <c r="N46" s="1">
        <v>244</v>
      </c>
      <c r="O46" s="1">
        <f t="shared" si="2"/>
        <v>122</v>
      </c>
      <c r="P46" s="3">
        <v>45</v>
      </c>
      <c r="Q46">
        <f t="shared" si="3"/>
        <v>2.3188095376146267E-4</v>
      </c>
      <c r="R46">
        <v>42.967582</v>
      </c>
      <c r="S46">
        <f t="shared" si="4"/>
        <v>18.530017797063667</v>
      </c>
      <c r="U46" s="1" t="s">
        <v>87</v>
      </c>
      <c r="V46" s="4">
        <v>220</v>
      </c>
      <c r="W46" s="4">
        <f t="shared" si="5"/>
        <v>110</v>
      </c>
      <c r="X46" s="4">
        <v>244</v>
      </c>
      <c r="Y46" s="4">
        <f t="shared" si="6"/>
        <v>122</v>
      </c>
      <c r="Z46" s="3">
        <v>60</v>
      </c>
      <c r="AA46">
        <f t="shared" si="7"/>
        <v>1.6864069364470012E-4</v>
      </c>
      <c r="AB46">
        <v>69.438438000000005</v>
      </c>
      <c r="AC46">
        <f t="shared" si="8"/>
        <v>41.175374993592037</v>
      </c>
      <c r="AE46" s="1" t="s">
        <v>138</v>
      </c>
      <c r="AF46" s="4">
        <v>370</v>
      </c>
      <c r="AG46" s="4">
        <f t="shared" si="9"/>
        <v>185</v>
      </c>
      <c r="AH46" s="4">
        <v>390</v>
      </c>
      <c r="AI46" s="4">
        <f t="shared" si="10"/>
        <v>195</v>
      </c>
      <c r="AJ46" s="3">
        <v>90</v>
      </c>
      <c r="AK46">
        <f t="shared" si="11"/>
        <v>1.1333295497825177E-4</v>
      </c>
      <c r="AL46">
        <v>73.894847999999996</v>
      </c>
      <c r="AM46">
        <f t="shared" si="12"/>
        <v>65.201554141229437</v>
      </c>
    </row>
    <row r="47" spans="1:39" x14ac:dyDescent="0.2">
      <c r="A47" s="8" t="s">
        <v>46</v>
      </c>
      <c r="B47" s="4">
        <v>356</v>
      </c>
      <c r="C47" s="8">
        <v>178</v>
      </c>
      <c r="D47" s="4">
        <v>386</v>
      </c>
      <c r="E47" s="8">
        <v>193</v>
      </c>
      <c r="F47" s="8">
        <v>15</v>
      </c>
      <c r="G47" s="9">
        <v>9.1739999999999996E-4</v>
      </c>
      <c r="H47" s="6">
        <v>103.1146</v>
      </c>
      <c r="I47" s="9">
        <f t="shared" si="0"/>
        <v>11.239873555700894</v>
      </c>
      <c r="K47" s="1" t="s">
        <v>89</v>
      </c>
      <c r="L47" s="4">
        <v>248</v>
      </c>
      <c r="M47" s="1">
        <f t="shared" si="1"/>
        <v>124</v>
      </c>
      <c r="N47" s="4">
        <v>248</v>
      </c>
      <c r="O47" s="1">
        <f t="shared" si="2"/>
        <v>124</v>
      </c>
      <c r="P47" s="1">
        <v>3</v>
      </c>
      <c r="Q47">
        <f t="shared" si="3"/>
        <v>4.6855974782348755E-4</v>
      </c>
      <c r="R47">
        <v>48.366973999999999</v>
      </c>
      <c r="S47">
        <f t="shared" si="4"/>
        <v>10.322477384083887</v>
      </c>
      <c r="U47" s="1" t="s">
        <v>89</v>
      </c>
      <c r="V47" s="4">
        <v>248</v>
      </c>
      <c r="W47" s="4">
        <f t="shared" si="5"/>
        <v>124</v>
      </c>
      <c r="X47" s="4">
        <v>248</v>
      </c>
      <c r="Y47" s="4">
        <f t="shared" si="6"/>
        <v>124</v>
      </c>
      <c r="Z47" s="3">
        <v>80</v>
      </c>
      <c r="AA47">
        <f t="shared" si="7"/>
        <v>9.6610257283193297E-5</v>
      </c>
      <c r="AB47">
        <v>28.021861000000001</v>
      </c>
      <c r="AC47">
        <f t="shared" si="8"/>
        <v>29.005057835483893</v>
      </c>
      <c r="AE47" s="1" t="s">
        <v>49</v>
      </c>
      <c r="AF47" s="4">
        <v>356</v>
      </c>
      <c r="AG47" s="4">
        <f t="shared" si="9"/>
        <v>178</v>
      </c>
      <c r="AH47" s="4">
        <v>386</v>
      </c>
      <c r="AI47" s="4">
        <f t="shared" si="10"/>
        <v>193</v>
      </c>
      <c r="AJ47" s="3">
        <v>85</v>
      </c>
      <c r="AK47">
        <f t="shared" si="11"/>
        <v>1.6188941103213568E-4</v>
      </c>
      <c r="AL47">
        <v>69.278239999999997</v>
      </c>
      <c r="AM47">
        <f t="shared" si="12"/>
        <v>42.793558614064018</v>
      </c>
    </row>
    <row r="48" spans="1:39" x14ac:dyDescent="0.2">
      <c r="A48" s="8" t="s">
        <v>47</v>
      </c>
      <c r="B48" s="8">
        <v>380</v>
      </c>
      <c r="C48" s="8">
        <v>190</v>
      </c>
      <c r="D48" s="8">
        <v>390</v>
      </c>
      <c r="E48" s="8">
        <v>195</v>
      </c>
      <c r="F48" s="8">
        <v>3</v>
      </c>
      <c r="G48" s="9">
        <v>1.129E-3</v>
      </c>
      <c r="H48" s="6">
        <v>111.19540000000001</v>
      </c>
      <c r="I48" s="9">
        <f t="shared" si="0"/>
        <v>9.8490168290522586</v>
      </c>
      <c r="K48" s="1" t="s">
        <v>90</v>
      </c>
      <c r="L48" s="1">
        <v>259</v>
      </c>
      <c r="M48" s="1">
        <f t="shared" si="1"/>
        <v>129.5</v>
      </c>
      <c r="N48" s="1">
        <v>280</v>
      </c>
      <c r="O48" s="1">
        <f t="shared" si="2"/>
        <v>140</v>
      </c>
      <c r="P48" s="3">
        <v>65</v>
      </c>
      <c r="Q48">
        <f t="shared" si="3"/>
        <v>1.993497618335403E-4</v>
      </c>
      <c r="R48">
        <v>34.830264999999997</v>
      </c>
      <c r="S48">
        <f t="shared" si="4"/>
        <v>17.471937101727633</v>
      </c>
      <c r="U48" s="1" t="s">
        <v>118</v>
      </c>
      <c r="V48" s="4">
        <v>259</v>
      </c>
      <c r="W48" s="4">
        <f t="shared" si="5"/>
        <v>129.5</v>
      </c>
      <c r="X48" s="4">
        <v>280</v>
      </c>
      <c r="Y48" s="4">
        <f t="shared" si="6"/>
        <v>140</v>
      </c>
      <c r="Z48" s="3">
        <v>50</v>
      </c>
      <c r="AA48">
        <f t="shared" si="7"/>
        <v>2.8478537404791473E-4</v>
      </c>
      <c r="AB48">
        <v>33.444918999999999</v>
      </c>
      <c r="AC48">
        <f t="shared" si="8"/>
        <v>11.743903320812024</v>
      </c>
      <c r="AE48" s="1" t="s">
        <v>91</v>
      </c>
      <c r="AF48" s="4">
        <v>380</v>
      </c>
      <c r="AG48" s="4">
        <f t="shared" si="9"/>
        <v>190</v>
      </c>
      <c r="AH48" s="4">
        <v>390</v>
      </c>
      <c r="AI48" s="4">
        <f t="shared" si="10"/>
        <v>195</v>
      </c>
      <c r="AJ48" s="1">
        <v>9</v>
      </c>
      <c r="AK48">
        <f t="shared" si="11"/>
        <v>1.0592036711210668E-3</v>
      </c>
      <c r="AL48">
        <v>65.113099000000005</v>
      </c>
      <c r="AM48">
        <f t="shared" si="12"/>
        <v>6.1473634179424579</v>
      </c>
    </row>
    <row r="49" spans="1:39" x14ac:dyDescent="0.2">
      <c r="A49" s="8" t="s">
        <v>48</v>
      </c>
      <c r="B49" s="4">
        <v>356</v>
      </c>
      <c r="C49" s="8">
        <v>178</v>
      </c>
      <c r="D49" s="4">
        <v>386</v>
      </c>
      <c r="E49" s="8">
        <v>193</v>
      </c>
      <c r="F49" s="8">
        <v>2</v>
      </c>
      <c r="G49" s="9">
        <v>1.0577E-3</v>
      </c>
      <c r="H49" s="6">
        <v>113.5838</v>
      </c>
      <c r="I49" s="9">
        <f t="shared" si="0"/>
        <v>10.738753899971636</v>
      </c>
      <c r="K49" s="1" t="s">
        <v>91</v>
      </c>
      <c r="L49" s="1">
        <v>260</v>
      </c>
      <c r="M49" s="1">
        <f t="shared" si="1"/>
        <v>130</v>
      </c>
      <c r="N49" s="1">
        <v>260</v>
      </c>
      <c r="O49" s="1">
        <f t="shared" si="2"/>
        <v>130</v>
      </c>
      <c r="P49" s="3">
        <v>10</v>
      </c>
      <c r="Q49">
        <f t="shared" si="3"/>
        <v>4.7783624261100749E-4</v>
      </c>
      <c r="R49">
        <v>47.604213999999999</v>
      </c>
      <c r="S49">
        <f t="shared" si="4"/>
        <v>9.9624536096047454</v>
      </c>
      <c r="U49" s="1" t="s">
        <v>119</v>
      </c>
      <c r="V49" s="4">
        <v>260</v>
      </c>
      <c r="W49" s="4">
        <f t="shared" si="5"/>
        <v>130</v>
      </c>
      <c r="X49" s="4">
        <v>260</v>
      </c>
      <c r="Y49" s="4">
        <f t="shared" si="6"/>
        <v>130</v>
      </c>
      <c r="Z49" s="3">
        <v>30</v>
      </c>
      <c r="AA49">
        <f t="shared" si="7"/>
        <v>3.7165041091967248E-4</v>
      </c>
      <c r="AB49">
        <v>28.451481999999999</v>
      </c>
      <c r="AC49">
        <f t="shared" si="8"/>
        <v>7.6554420939815477</v>
      </c>
      <c r="AE49" s="1" t="s">
        <v>51</v>
      </c>
      <c r="AF49" s="4">
        <v>356</v>
      </c>
      <c r="AG49" s="4">
        <f t="shared" si="9"/>
        <v>178</v>
      </c>
      <c r="AH49" s="4">
        <v>386</v>
      </c>
      <c r="AI49" s="4">
        <f t="shared" si="10"/>
        <v>193</v>
      </c>
      <c r="AJ49" s="3">
        <v>40</v>
      </c>
      <c r="AK49">
        <f t="shared" si="11"/>
        <v>6.4755764412854249E-4</v>
      </c>
      <c r="AL49">
        <v>73.421536000000003</v>
      </c>
      <c r="AM49">
        <f t="shared" si="12"/>
        <v>11.338223965961797</v>
      </c>
    </row>
    <row r="50" spans="1:39" x14ac:dyDescent="0.2">
      <c r="A50" s="8" t="s">
        <v>49</v>
      </c>
      <c r="B50" s="8">
        <v>360</v>
      </c>
      <c r="C50" s="8">
        <v>180</v>
      </c>
      <c r="D50" s="8">
        <v>380</v>
      </c>
      <c r="E50" s="8">
        <v>190</v>
      </c>
      <c r="F50" s="8">
        <v>6</v>
      </c>
      <c r="G50" s="9">
        <v>1.01E-3</v>
      </c>
      <c r="H50" s="6">
        <v>105.24630000000001</v>
      </c>
      <c r="I50" s="9">
        <f t="shared" si="0"/>
        <v>10.420425742574258</v>
      </c>
      <c r="K50" s="1" t="s">
        <v>92</v>
      </c>
      <c r="L50" s="1">
        <v>263</v>
      </c>
      <c r="M50" s="1">
        <f t="shared" si="1"/>
        <v>131.5</v>
      </c>
      <c r="N50" s="1">
        <v>260</v>
      </c>
      <c r="O50" s="1">
        <f t="shared" si="2"/>
        <v>130</v>
      </c>
      <c r="P50" s="3">
        <v>20</v>
      </c>
      <c r="Q50">
        <f t="shared" si="3"/>
        <v>4.2964421130494009E-4</v>
      </c>
      <c r="R50">
        <v>37.440759999999997</v>
      </c>
      <c r="S50">
        <f t="shared" si="4"/>
        <v>8.7143638887354662</v>
      </c>
      <c r="U50" s="1" t="s">
        <v>90</v>
      </c>
      <c r="V50" s="4">
        <v>263</v>
      </c>
      <c r="W50" s="4">
        <f t="shared" si="5"/>
        <v>131.5</v>
      </c>
      <c r="X50" s="4">
        <v>260</v>
      </c>
      <c r="Y50" s="4">
        <f t="shared" si="6"/>
        <v>130</v>
      </c>
      <c r="Z50" s="1">
        <v>5</v>
      </c>
      <c r="AA50">
        <f t="shared" si="7"/>
        <v>5.1020250092461631E-4</v>
      </c>
      <c r="AB50">
        <v>37.671954999999997</v>
      </c>
      <c r="AC50">
        <f t="shared" si="8"/>
        <v>7.383726056169631</v>
      </c>
      <c r="AE50" s="1" t="s">
        <v>53</v>
      </c>
      <c r="AF50" s="4">
        <v>360</v>
      </c>
      <c r="AG50" s="4">
        <f t="shared" si="9"/>
        <v>180</v>
      </c>
      <c r="AH50" s="4">
        <v>380</v>
      </c>
      <c r="AI50" s="4">
        <f t="shared" si="10"/>
        <v>190</v>
      </c>
      <c r="AJ50" s="3">
        <v>70</v>
      </c>
      <c r="AK50">
        <f t="shared" si="11"/>
        <v>3.2232740625831282E-4</v>
      </c>
      <c r="AL50">
        <v>59.901211000000004</v>
      </c>
      <c r="AM50">
        <f t="shared" si="12"/>
        <v>18.583964576687357</v>
      </c>
    </row>
    <row r="51" spans="1:39" x14ac:dyDescent="0.2">
      <c r="A51" s="8" t="s">
        <v>50</v>
      </c>
      <c r="B51" s="8">
        <v>370</v>
      </c>
      <c r="C51" s="8">
        <v>185</v>
      </c>
      <c r="D51" s="8">
        <v>380</v>
      </c>
      <c r="E51" s="8">
        <v>190</v>
      </c>
      <c r="F51" s="8">
        <v>3</v>
      </c>
      <c r="G51" s="9">
        <v>1.0711E-3</v>
      </c>
      <c r="H51" s="6">
        <v>117.74720000000001</v>
      </c>
      <c r="I51" s="9">
        <f t="shared" si="0"/>
        <v>10.993109887032023</v>
      </c>
      <c r="K51" s="1" t="s">
        <v>51</v>
      </c>
      <c r="L51" s="4">
        <v>280</v>
      </c>
      <c r="M51" s="1">
        <f t="shared" si="1"/>
        <v>140</v>
      </c>
      <c r="N51" s="4">
        <v>270</v>
      </c>
      <c r="O51" s="1">
        <f t="shared" si="2"/>
        <v>135</v>
      </c>
      <c r="P51" s="1">
        <v>6</v>
      </c>
      <c r="Q51">
        <f t="shared" si="3"/>
        <v>5.581353508367626E-4</v>
      </c>
      <c r="R51">
        <v>42.963940999999998</v>
      </c>
      <c r="S51">
        <f t="shared" si="4"/>
        <v>7.697763801484351</v>
      </c>
      <c r="U51" s="1" t="s">
        <v>120</v>
      </c>
      <c r="V51" s="4">
        <v>280</v>
      </c>
      <c r="W51" s="4">
        <f t="shared" si="5"/>
        <v>140</v>
      </c>
      <c r="X51" s="4">
        <v>270</v>
      </c>
      <c r="Y51" s="4">
        <f t="shared" si="6"/>
        <v>135</v>
      </c>
      <c r="Z51" s="3">
        <v>70</v>
      </c>
      <c r="AA51">
        <f t="shared" si="7"/>
        <v>1.7812830345854128E-4</v>
      </c>
      <c r="AB51">
        <v>52.430171000000001</v>
      </c>
      <c r="AC51">
        <f t="shared" si="8"/>
        <v>29.433936091017078</v>
      </c>
      <c r="AE51" s="1" t="s">
        <v>54</v>
      </c>
      <c r="AF51" s="4">
        <v>370</v>
      </c>
      <c r="AG51" s="4">
        <f t="shared" si="9"/>
        <v>185</v>
      </c>
      <c r="AH51" s="4">
        <v>380</v>
      </c>
      <c r="AI51" s="4">
        <f t="shared" si="10"/>
        <v>190</v>
      </c>
      <c r="AJ51" s="3">
        <v>90</v>
      </c>
      <c r="AK51">
        <f t="shared" si="11"/>
        <v>1.1042698177368119E-4</v>
      </c>
      <c r="AL51">
        <v>68.988792000000004</v>
      </c>
      <c r="AM51">
        <f t="shared" si="12"/>
        <v>62.474579031229645</v>
      </c>
    </row>
    <row r="52" spans="1:39" x14ac:dyDescent="0.2">
      <c r="A52" s="8" t="s">
        <v>51</v>
      </c>
      <c r="B52" s="8">
        <v>290</v>
      </c>
      <c r="C52" s="8">
        <v>145</v>
      </c>
      <c r="D52" s="8">
        <v>360</v>
      </c>
      <c r="E52" s="8">
        <v>180</v>
      </c>
      <c r="F52" s="8">
        <v>1</v>
      </c>
      <c r="G52" s="9">
        <v>8.118E-4</v>
      </c>
      <c r="H52" s="6">
        <v>33.736190000000001</v>
      </c>
      <c r="I52" s="9">
        <f t="shared" si="0"/>
        <v>4.1557267799950726</v>
      </c>
      <c r="K52" s="1" t="s">
        <v>52</v>
      </c>
      <c r="L52" s="4">
        <v>280</v>
      </c>
      <c r="M52" s="1">
        <f t="shared" si="1"/>
        <v>140</v>
      </c>
      <c r="N52" s="4">
        <v>270</v>
      </c>
      <c r="O52" s="1">
        <f t="shared" si="2"/>
        <v>135</v>
      </c>
      <c r="P52" s="1">
        <v>2</v>
      </c>
      <c r="Q52">
        <f t="shared" si="3"/>
        <v>5.8188579129790142E-4</v>
      </c>
      <c r="R52">
        <v>45.317756000000003</v>
      </c>
      <c r="S52">
        <f t="shared" si="4"/>
        <v>7.7880843075611699</v>
      </c>
      <c r="U52" s="1" t="s">
        <v>51</v>
      </c>
      <c r="V52" s="4">
        <v>280</v>
      </c>
      <c r="W52" s="4">
        <f t="shared" si="5"/>
        <v>140</v>
      </c>
      <c r="X52" s="4">
        <v>270</v>
      </c>
      <c r="Y52" s="4">
        <f t="shared" si="6"/>
        <v>135</v>
      </c>
      <c r="Z52" s="3">
        <v>65</v>
      </c>
      <c r="AA52">
        <f t="shared" si="7"/>
        <v>2.078163540349648E-4</v>
      </c>
      <c r="AB52">
        <v>32.052290999999997</v>
      </c>
      <c r="AC52">
        <f t="shared" si="8"/>
        <v>15.423372789326892</v>
      </c>
      <c r="AE52" s="1" t="s">
        <v>122</v>
      </c>
      <c r="AF52" s="4">
        <v>290</v>
      </c>
      <c r="AG52" s="4">
        <f t="shared" si="9"/>
        <v>145</v>
      </c>
      <c r="AH52" s="4">
        <v>360</v>
      </c>
      <c r="AI52" s="4">
        <f t="shared" si="10"/>
        <v>180</v>
      </c>
      <c r="AJ52" s="3">
        <v>90</v>
      </c>
      <c r="AK52">
        <f t="shared" si="11"/>
        <v>8.199556825869359E-5</v>
      </c>
      <c r="AL52">
        <v>62.289614</v>
      </c>
      <c r="AM52">
        <f t="shared" si="12"/>
        <v>75.96704958916574</v>
      </c>
    </row>
    <row r="53" spans="1:39" x14ac:dyDescent="0.2">
      <c r="A53" s="8" t="s">
        <v>52</v>
      </c>
      <c r="B53" s="8">
        <v>330</v>
      </c>
      <c r="C53" s="8">
        <v>165</v>
      </c>
      <c r="D53" s="8">
        <v>360</v>
      </c>
      <c r="E53" s="8">
        <v>180</v>
      </c>
      <c r="F53" s="8">
        <v>4</v>
      </c>
      <c r="G53" s="9">
        <v>8.9570000000000003E-4</v>
      </c>
      <c r="H53" s="6">
        <v>103.50409999999999</v>
      </c>
      <c r="I53" s="9">
        <f t="shared" si="0"/>
        <v>11.555665959584681</v>
      </c>
      <c r="K53" s="1" t="s">
        <v>53</v>
      </c>
      <c r="L53" s="4">
        <v>280</v>
      </c>
      <c r="M53" s="1">
        <f t="shared" si="1"/>
        <v>140</v>
      </c>
      <c r="N53" s="4">
        <v>270</v>
      </c>
      <c r="O53" s="1">
        <f t="shared" si="2"/>
        <v>135</v>
      </c>
      <c r="P53" s="1">
        <v>3</v>
      </c>
      <c r="Q53">
        <f t="shared" si="3"/>
        <v>5.7594818118261672E-4</v>
      </c>
      <c r="R53">
        <v>45.370547999999999</v>
      </c>
      <c r="S53">
        <f t="shared" si="4"/>
        <v>7.8775399388950049</v>
      </c>
      <c r="U53" s="1" t="s">
        <v>52</v>
      </c>
      <c r="V53" s="4">
        <v>280</v>
      </c>
      <c r="W53" s="4">
        <f t="shared" si="5"/>
        <v>140</v>
      </c>
      <c r="X53" s="4">
        <v>270</v>
      </c>
      <c r="Y53" s="4">
        <f t="shared" si="6"/>
        <v>135</v>
      </c>
      <c r="Z53" s="3">
        <v>70</v>
      </c>
      <c r="AA53">
        <f t="shared" si="7"/>
        <v>1.7812830345854128E-4</v>
      </c>
      <c r="AB53">
        <v>35.103329000000002</v>
      </c>
      <c r="AC53">
        <f t="shared" si="8"/>
        <v>19.706766593760424</v>
      </c>
      <c r="AE53" s="1" t="s">
        <v>139</v>
      </c>
      <c r="AF53" s="4">
        <v>330</v>
      </c>
      <c r="AG53" s="4">
        <f t="shared" si="9"/>
        <v>165</v>
      </c>
      <c r="AH53" s="4">
        <v>360</v>
      </c>
      <c r="AI53" s="4">
        <f t="shared" si="10"/>
        <v>180</v>
      </c>
      <c r="AJ53" s="3">
        <v>60</v>
      </c>
      <c r="AK53">
        <f t="shared" si="11"/>
        <v>3.7322120724646741E-4</v>
      </c>
      <c r="AL53">
        <v>70.50703</v>
      </c>
      <c r="AM53">
        <f t="shared" si="12"/>
        <v>18.891485433044711</v>
      </c>
    </row>
    <row r="54" spans="1:39" x14ac:dyDescent="0.2">
      <c r="A54" s="8" t="s">
        <v>53</v>
      </c>
      <c r="B54" s="8">
        <v>350</v>
      </c>
      <c r="C54" s="8">
        <v>175</v>
      </c>
      <c r="D54" s="8">
        <v>370</v>
      </c>
      <c r="E54" s="8">
        <v>185</v>
      </c>
      <c r="F54" s="8">
        <v>10</v>
      </c>
      <c r="G54" s="9">
        <v>9.1540000000000002E-4</v>
      </c>
      <c r="H54" s="6">
        <v>105.1807</v>
      </c>
      <c r="I54" s="9">
        <f t="shared" si="0"/>
        <v>11.490135459908238</v>
      </c>
      <c r="K54" s="1" t="s">
        <v>93</v>
      </c>
      <c r="L54" s="4">
        <v>280</v>
      </c>
      <c r="M54" s="1">
        <f t="shared" si="1"/>
        <v>140</v>
      </c>
      <c r="N54" s="4">
        <v>270</v>
      </c>
      <c r="O54" s="1">
        <f t="shared" si="2"/>
        <v>135</v>
      </c>
      <c r="P54" s="1">
        <v>2</v>
      </c>
      <c r="Q54">
        <f t="shared" si="3"/>
        <v>5.8188579129790142E-4</v>
      </c>
      <c r="R54">
        <v>48.177649000000002</v>
      </c>
      <c r="S54">
        <f t="shared" si="4"/>
        <v>8.2795713042828094</v>
      </c>
      <c r="U54" s="1" t="s">
        <v>121</v>
      </c>
      <c r="V54" s="4">
        <v>280</v>
      </c>
      <c r="W54" s="4">
        <f t="shared" si="5"/>
        <v>140</v>
      </c>
      <c r="X54" s="4">
        <v>270</v>
      </c>
      <c r="Y54" s="4">
        <f t="shared" si="6"/>
        <v>135</v>
      </c>
      <c r="Z54" s="3">
        <v>75</v>
      </c>
      <c r="AA54">
        <f t="shared" si="7"/>
        <v>1.4844025288211771E-4</v>
      </c>
      <c r="AB54">
        <v>21.968934999999998</v>
      </c>
      <c r="AC54">
        <f t="shared" si="8"/>
        <v>14.799850157521897</v>
      </c>
      <c r="AE54" s="1" t="s">
        <v>140</v>
      </c>
      <c r="AF54" s="4">
        <v>350</v>
      </c>
      <c r="AG54" s="4">
        <f t="shared" si="9"/>
        <v>175</v>
      </c>
      <c r="AH54" s="4">
        <v>370</v>
      </c>
      <c r="AI54" s="4">
        <f t="shared" si="10"/>
        <v>185</v>
      </c>
      <c r="AJ54" s="3">
        <v>25</v>
      </c>
      <c r="AK54">
        <f t="shared" si="11"/>
        <v>7.6281796619977161E-4</v>
      </c>
      <c r="AL54">
        <v>69.436617999999996</v>
      </c>
      <c r="AM54">
        <f t="shared" si="12"/>
        <v>9.102645857427996</v>
      </c>
    </row>
    <row r="55" spans="1:39" x14ac:dyDescent="0.2">
      <c r="A55" s="8" t="s">
        <v>54</v>
      </c>
      <c r="B55" s="8">
        <v>320</v>
      </c>
      <c r="C55" s="8">
        <v>160</v>
      </c>
      <c r="D55" s="8">
        <v>340</v>
      </c>
      <c r="E55" s="8">
        <v>170</v>
      </c>
      <c r="F55" s="8">
        <v>15</v>
      </c>
      <c r="G55" s="9">
        <v>7.2630000000000004E-4</v>
      </c>
      <c r="H55" s="6">
        <v>100.7753</v>
      </c>
      <c r="I55" s="9">
        <f t="shared" si="0"/>
        <v>13.875161778879251</v>
      </c>
      <c r="K55" s="1" t="s">
        <v>94</v>
      </c>
      <c r="L55" s="1">
        <v>280</v>
      </c>
      <c r="M55" s="1">
        <f t="shared" si="1"/>
        <v>140</v>
      </c>
      <c r="N55" s="1">
        <v>270</v>
      </c>
      <c r="O55" s="1">
        <f t="shared" si="2"/>
        <v>135</v>
      </c>
      <c r="P55" s="1">
        <v>5</v>
      </c>
      <c r="Q55">
        <f t="shared" si="3"/>
        <v>5.6407296095204731E-4</v>
      </c>
      <c r="R55">
        <v>56.054645000000001</v>
      </c>
      <c r="S55">
        <f t="shared" si="4"/>
        <v>9.9374812977013622</v>
      </c>
      <c r="U55" s="1" t="s">
        <v>54</v>
      </c>
      <c r="V55" s="4">
        <v>280</v>
      </c>
      <c r="W55" s="4">
        <f t="shared" si="5"/>
        <v>140</v>
      </c>
      <c r="X55" s="4">
        <v>270</v>
      </c>
      <c r="Y55" s="4">
        <f t="shared" si="6"/>
        <v>135</v>
      </c>
      <c r="Z55" s="3">
        <v>70</v>
      </c>
      <c r="AA55">
        <f t="shared" si="7"/>
        <v>1.7812830345854128E-4</v>
      </c>
      <c r="AB55">
        <v>29.964258999999998</v>
      </c>
      <c r="AC55">
        <f t="shared" si="8"/>
        <v>16.821728169085759</v>
      </c>
      <c r="AE55" s="1" t="s">
        <v>123</v>
      </c>
      <c r="AF55" s="4">
        <v>320</v>
      </c>
      <c r="AG55" s="4">
        <f t="shared" si="9"/>
        <v>160</v>
      </c>
      <c r="AH55" s="4">
        <v>340</v>
      </c>
      <c r="AI55" s="4">
        <f t="shared" si="10"/>
        <v>170</v>
      </c>
      <c r="AJ55" s="1">
        <v>18</v>
      </c>
      <c r="AK55">
        <f t="shared" si="11"/>
        <v>7.0070082545666749E-4</v>
      </c>
      <c r="AL55">
        <v>66.298197999999999</v>
      </c>
      <c r="AM55">
        <f t="shared" si="12"/>
        <v>9.4616982871101243</v>
      </c>
    </row>
    <row r="56" spans="1:39" x14ac:dyDescent="0.2">
      <c r="A56" s="8" t="s">
        <v>55</v>
      </c>
      <c r="B56" s="8">
        <v>350</v>
      </c>
      <c r="C56" s="8">
        <v>175</v>
      </c>
      <c r="D56" s="8">
        <v>380</v>
      </c>
      <c r="E56" s="8">
        <v>190</v>
      </c>
      <c r="F56" s="8">
        <v>5</v>
      </c>
      <c r="G56" s="9">
        <v>9.9240000000000005E-4</v>
      </c>
      <c r="H56" s="6">
        <v>108.7033</v>
      </c>
      <c r="I56" s="9">
        <f t="shared" si="0"/>
        <v>10.953577186618299</v>
      </c>
      <c r="K56" s="1" t="s">
        <v>95</v>
      </c>
      <c r="L56" s="4">
        <v>260</v>
      </c>
      <c r="M56" s="1">
        <f t="shared" si="1"/>
        <v>130</v>
      </c>
      <c r="N56" s="4">
        <v>260</v>
      </c>
      <c r="O56" s="1">
        <f t="shared" si="2"/>
        <v>130</v>
      </c>
      <c r="P56" s="1">
        <v>4</v>
      </c>
      <c r="Q56">
        <f t="shared" si="3"/>
        <v>5.0969199211840799E-4</v>
      </c>
      <c r="R56">
        <v>49.045994</v>
      </c>
      <c r="S56">
        <f t="shared" si="4"/>
        <v>9.6226730571442811</v>
      </c>
      <c r="U56" s="1" t="s">
        <v>93</v>
      </c>
      <c r="V56" s="4">
        <v>260</v>
      </c>
      <c r="W56" s="4">
        <f t="shared" si="5"/>
        <v>130</v>
      </c>
      <c r="X56" s="4">
        <v>260</v>
      </c>
      <c r="Y56" s="4">
        <f t="shared" si="6"/>
        <v>130</v>
      </c>
      <c r="Z56" s="3">
        <v>55</v>
      </c>
      <c r="AA56">
        <f t="shared" si="7"/>
        <v>2.3891812130550375E-4</v>
      </c>
      <c r="AB56">
        <v>41.221791000000003</v>
      </c>
      <c r="AC56">
        <f t="shared" si="8"/>
        <v>17.253522158451034</v>
      </c>
      <c r="AE56" s="1" t="s">
        <v>141</v>
      </c>
      <c r="AF56" s="4">
        <v>350</v>
      </c>
      <c r="AG56" s="4">
        <f t="shared" si="9"/>
        <v>175</v>
      </c>
      <c r="AH56" s="4">
        <v>380</v>
      </c>
      <c r="AI56" s="4">
        <f t="shared" si="10"/>
        <v>190</v>
      </c>
      <c r="AJ56" s="3">
        <v>15</v>
      </c>
      <c r="AK56">
        <f t="shared" si="11"/>
        <v>8.8789262372081517E-4</v>
      </c>
      <c r="AL56">
        <v>53.990279000000001</v>
      </c>
      <c r="AM56">
        <f t="shared" si="12"/>
        <v>6.0807216500738113</v>
      </c>
    </row>
    <row r="57" spans="1:39" x14ac:dyDescent="0.2">
      <c r="A57" s="8" t="s">
        <v>56</v>
      </c>
      <c r="B57" s="8">
        <v>360</v>
      </c>
      <c r="C57" s="8">
        <v>180</v>
      </c>
      <c r="D57" s="8">
        <v>370</v>
      </c>
      <c r="E57" s="8">
        <v>185</v>
      </c>
      <c r="F57" s="8">
        <v>2</v>
      </c>
      <c r="G57" s="9">
        <v>1.0252E-3</v>
      </c>
      <c r="H57" s="6">
        <v>116.2653</v>
      </c>
      <c r="I57" s="9">
        <f t="shared" si="0"/>
        <v>11.34074326960593</v>
      </c>
      <c r="K57" s="1" t="s">
        <v>96</v>
      </c>
      <c r="L57" s="1">
        <v>260</v>
      </c>
      <c r="M57" s="1">
        <f t="shared" si="1"/>
        <v>130</v>
      </c>
      <c r="N57" s="1">
        <v>260</v>
      </c>
      <c r="O57" s="1">
        <f t="shared" si="2"/>
        <v>130</v>
      </c>
      <c r="P57" s="1">
        <v>10</v>
      </c>
      <c r="Q57">
        <f t="shared" si="3"/>
        <v>4.7783624261100749E-4</v>
      </c>
      <c r="R57">
        <v>52.126159999999999</v>
      </c>
      <c r="S57">
        <f t="shared" si="4"/>
        <v>10.908791621826472</v>
      </c>
      <c r="U57" s="1" t="s">
        <v>122</v>
      </c>
      <c r="V57" s="4">
        <v>260</v>
      </c>
      <c r="W57" s="4">
        <f t="shared" si="5"/>
        <v>130</v>
      </c>
      <c r="X57" s="4">
        <v>260</v>
      </c>
      <c r="Y57" s="4">
        <f t="shared" si="6"/>
        <v>130</v>
      </c>
      <c r="Z57" s="3">
        <v>28</v>
      </c>
      <c r="AA57">
        <f t="shared" si="7"/>
        <v>3.8226899408880602E-4</v>
      </c>
      <c r="AB57">
        <v>42.925711999999997</v>
      </c>
      <c r="AC57">
        <f t="shared" si="8"/>
        <v>11.229190089643474</v>
      </c>
      <c r="AE57" s="1" t="s">
        <v>58</v>
      </c>
      <c r="AF57" s="4">
        <v>360</v>
      </c>
      <c r="AG57" s="4">
        <f t="shared" si="9"/>
        <v>180</v>
      </c>
      <c r="AH57" s="4">
        <v>370</v>
      </c>
      <c r="AI57" s="4">
        <f t="shared" si="10"/>
        <v>185</v>
      </c>
      <c r="AJ57" s="3">
        <v>30</v>
      </c>
      <c r="AK57">
        <f t="shared" si="11"/>
        <v>7.3230524755178077E-4</v>
      </c>
      <c r="AL57">
        <v>72.385711999999998</v>
      </c>
      <c r="AM57">
        <f t="shared" si="12"/>
        <v>9.8846365285511162</v>
      </c>
    </row>
    <row r="58" spans="1:39" x14ac:dyDescent="0.2">
      <c r="A58" s="8" t="s">
        <v>57</v>
      </c>
      <c r="B58" s="8">
        <v>360</v>
      </c>
      <c r="C58" s="8">
        <v>180</v>
      </c>
      <c r="D58" s="8">
        <v>370</v>
      </c>
      <c r="E58" s="8">
        <v>185</v>
      </c>
      <c r="F58" s="8">
        <v>20</v>
      </c>
      <c r="G58" s="9">
        <v>8.3690000000000001E-4</v>
      </c>
      <c r="H58" s="6">
        <v>121.8631</v>
      </c>
      <c r="I58" s="9">
        <f t="shared" si="0"/>
        <v>14.561249850639264</v>
      </c>
      <c r="K58" s="1" t="s">
        <v>59</v>
      </c>
      <c r="L58" s="1">
        <v>260</v>
      </c>
      <c r="M58" s="1">
        <f t="shared" si="1"/>
        <v>130</v>
      </c>
      <c r="N58" s="1">
        <v>240</v>
      </c>
      <c r="O58" s="1">
        <f t="shared" si="2"/>
        <v>120</v>
      </c>
      <c r="P58" s="1">
        <v>2</v>
      </c>
      <c r="Q58">
        <f t="shared" si="3"/>
        <v>4.8028668488080752E-4</v>
      </c>
      <c r="R58">
        <v>47.840870000000002</v>
      </c>
      <c r="S58">
        <f t="shared" si="4"/>
        <v>9.9608986686509216</v>
      </c>
      <c r="U58" s="1" t="s">
        <v>94</v>
      </c>
      <c r="V58" s="4">
        <v>260</v>
      </c>
      <c r="W58" s="4">
        <f t="shared" si="5"/>
        <v>130</v>
      </c>
      <c r="X58" s="4">
        <v>240</v>
      </c>
      <c r="Y58" s="4">
        <f t="shared" si="6"/>
        <v>120</v>
      </c>
      <c r="Z58" s="3">
        <v>40</v>
      </c>
      <c r="AA58">
        <f t="shared" si="7"/>
        <v>2.9405307237600462E-4</v>
      </c>
      <c r="AB58">
        <v>22.374891000000002</v>
      </c>
      <c r="AC58">
        <f t="shared" si="8"/>
        <v>7.6091335551118835</v>
      </c>
      <c r="AE58" s="1" t="s">
        <v>59</v>
      </c>
      <c r="AF58" s="4">
        <v>360</v>
      </c>
      <c r="AG58" s="4">
        <f t="shared" si="9"/>
        <v>180</v>
      </c>
      <c r="AH58" s="4">
        <v>370</v>
      </c>
      <c r="AI58" s="4">
        <f t="shared" si="10"/>
        <v>185</v>
      </c>
      <c r="AJ58" s="1">
        <v>1</v>
      </c>
      <c r="AK58">
        <f t="shared" si="11"/>
        <v>1.0356888501089473E-3</v>
      </c>
      <c r="AL58">
        <v>64.52328</v>
      </c>
      <c r="AM58">
        <f t="shared" si="12"/>
        <v>6.2299869302650697</v>
      </c>
    </row>
    <row r="59" spans="1:39" x14ac:dyDescent="0.2">
      <c r="A59" s="8" t="s">
        <v>58</v>
      </c>
      <c r="B59" s="8">
        <v>270</v>
      </c>
      <c r="C59" s="8">
        <v>135</v>
      </c>
      <c r="D59" s="8">
        <v>320</v>
      </c>
      <c r="E59" s="8">
        <v>160</v>
      </c>
      <c r="F59" s="8">
        <v>10</v>
      </c>
      <c r="G59" s="9">
        <v>6.1070000000000004E-4</v>
      </c>
      <c r="H59" s="6">
        <v>42.880200000000002</v>
      </c>
      <c r="I59" s="9">
        <f t="shared" si="0"/>
        <v>7.0214835434747007</v>
      </c>
      <c r="K59" s="1" t="s">
        <v>97</v>
      </c>
      <c r="L59" s="4">
        <v>263</v>
      </c>
      <c r="M59" s="1">
        <f t="shared" si="1"/>
        <v>131.5</v>
      </c>
      <c r="N59" s="4">
        <v>240</v>
      </c>
      <c r="O59" s="1">
        <f t="shared" si="2"/>
        <v>120</v>
      </c>
      <c r="P59" s="1">
        <v>1</v>
      </c>
      <c r="Q59">
        <f t="shared" si="3"/>
        <v>4.9078588752910477E-4</v>
      </c>
      <c r="R59">
        <v>49.53933</v>
      </c>
      <c r="S59">
        <f t="shared" si="4"/>
        <v>10.093878259093625</v>
      </c>
      <c r="U59" s="1" t="s">
        <v>123</v>
      </c>
      <c r="V59" s="4">
        <v>263</v>
      </c>
      <c r="W59" s="4">
        <f t="shared" si="5"/>
        <v>131.5</v>
      </c>
      <c r="X59" s="4">
        <v>240</v>
      </c>
      <c r="Y59" s="4">
        <f t="shared" si="6"/>
        <v>120</v>
      </c>
      <c r="Z59" s="3">
        <v>75</v>
      </c>
      <c r="AA59">
        <f t="shared" si="7"/>
        <v>1.2393583018411734E-4</v>
      </c>
      <c r="AB59">
        <v>31.5808</v>
      </c>
      <c r="AC59">
        <f t="shared" si="8"/>
        <v>25.481573773366431</v>
      </c>
      <c r="AE59" s="1" t="s">
        <v>60</v>
      </c>
      <c r="AF59" s="4">
        <v>270</v>
      </c>
      <c r="AG59" s="4">
        <f t="shared" si="9"/>
        <v>135</v>
      </c>
      <c r="AH59" s="4">
        <v>320</v>
      </c>
      <c r="AI59" s="4">
        <f t="shared" si="10"/>
        <v>160</v>
      </c>
      <c r="AJ59" s="1">
        <v>3</v>
      </c>
      <c r="AK59">
        <f t="shared" si="11"/>
        <v>6.5822649278013336E-4</v>
      </c>
      <c r="AL59">
        <v>70.011872999999994</v>
      </c>
      <c r="AM59">
        <f t="shared" si="12"/>
        <v>10.636441068224517</v>
      </c>
    </row>
    <row r="60" spans="1:39" x14ac:dyDescent="0.2">
      <c r="A60" s="11" t="s">
        <v>59</v>
      </c>
      <c r="B60" s="8">
        <v>320</v>
      </c>
      <c r="C60" s="8">
        <v>160</v>
      </c>
      <c r="D60" s="8">
        <v>300</v>
      </c>
      <c r="E60" s="8">
        <v>150</v>
      </c>
      <c r="F60" s="8">
        <v>6</v>
      </c>
      <c r="G60" s="9">
        <v>7.0870000000000004E-4</v>
      </c>
      <c r="H60" s="9"/>
      <c r="I60" s="9"/>
      <c r="K60" s="1" t="s">
        <v>98</v>
      </c>
      <c r="L60" s="4">
        <v>263</v>
      </c>
      <c r="M60" s="1">
        <f t="shared" si="1"/>
        <v>131.5</v>
      </c>
      <c r="N60" s="4">
        <v>240</v>
      </c>
      <c r="O60" s="1">
        <f t="shared" si="2"/>
        <v>120</v>
      </c>
      <c r="P60" s="1">
        <v>6</v>
      </c>
      <c r="Q60">
        <f t="shared" si="3"/>
        <v>4.659987214922812E-4</v>
      </c>
      <c r="R60">
        <v>49.586660999999999</v>
      </c>
      <c r="S60">
        <f t="shared" si="4"/>
        <v>10.640943571949554</v>
      </c>
      <c r="U60" s="1" t="s">
        <v>58</v>
      </c>
      <c r="V60" s="4">
        <v>263</v>
      </c>
      <c r="W60" s="4">
        <f t="shared" si="5"/>
        <v>131.5</v>
      </c>
      <c r="X60" s="4">
        <v>240</v>
      </c>
      <c r="Y60" s="4">
        <f t="shared" si="6"/>
        <v>120</v>
      </c>
      <c r="Z60" s="1">
        <v>8</v>
      </c>
      <c r="AA60">
        <f t="shared" si="7"/>
        <v>4.5608385507755187E-4</v>
      </c>
      <c r="AB60">
        <v>74.854213999999999</v>
      </c>
      <c r="AC60">
        <f t="shared" si="8"/>
        <v>16.412379689974312</v>
      </c>
      <c r="AE60" s="1" t="s">
        <v>99</v>
      </c>
      <c r="AF60" s="4">
        <v>320</v>
      </c>
      <c r="AG60" s="4">
        <f t="shared" si="9"/>
        <v>160</v>
      </c>
      <c r="AH60" s="4">
        <v>300</v>
      </c>
      <c r="AI60" s="4">
        <f t="shared" si="10"/>
        <v>150</v>
      </c>
      <c r="AJ60" s="1">
        <v>10</v>
      </c>
      <c r="AK60">
        <f t="shared" si="11"/>
        <v>6.7858401317539532E-4</v>
      </c>
      <c r="AL60">
        <v>69.582251999999997</v>
      </c>
      <c r="AM60">
        <f t="shared" si="12"/>
        <v>10.25403644191289</v>
      </c>
    </row>
    <row r="61" spans="1:39" x14ac:dyDescent="0.2">
      <c r="A61" s="11" t="s">
        <v>60</v>
      </c>
      <c r="B61" s="8">
        <v>310</v>
      </c>
      <c r="C61" s="8">
        <v>155</v>
      </c>
      <c r="D61" s="8">
        <v>310</v>
      </c>
      <c r="E61" s="8">
        <v>155</v>
      </c>
      <c r="F61" s="8">
        <v>2</v>
      </c>
      <c r="G61" s="9">
        <v>7.3970000000000004E-4</v>
      </c>
      <c r="H61" s="9"/>
      <c r="I61" s="9"/>
      <c r="K61" s="1" t="s">
        <v>99</v>
      </c>
      <c r="L61" s="4">
        <v>263</v>
      </c>
      <c r="M61" s="1">
        <f t="shared" si="1"/>
        <v>131.5</v>
      </c>
      <c r="N61" s="4">
        <v>240</v>
      </c>
      <c r="O61" s="1">
        <f t="shared" si="2"/>
        <v>120</v>
      </c>
      <c r="P61" s="1">
        <v>3</v>
      </c>
      <c r="Q61">
        <f t="shared" si="3"/>
        <v>4.8087102111437534E-4</v>
      </c>
      <c r="R61">
        <v>49.040533000000003</v>
      </c>
      <c r="S61">
        <f t="shared" si="4"/>
        <v>10.198271645971301</v>
      </c>
      <c r="U61" s="1" t="s">
        <v>124</v>
      </c>
      <c r="V61" s="4">
        <v>263</v>
      </c>
      <c r="W61" s="4">
        <f t="shared" si="5"/>
        <v>131.5</v>
      </c>
      <c r="X61" s="4">
        <v>240</v>
      </c>
      <c r="Y61" s="4">
        <f t="shared" si="6"/>
        <v>120</v>
      </c>
      <c r="Z61" s="1">
        <v>10</v>
      </c>
      <c r="AA61">
        <f t="shared" si="7"/>
        <v>4.4616898866282244E-4</v>
      </c>
      <c r="AB61">
        <v>50.121867000000002</v>
      </c>
      <c r="AC61">
        <f t="shared" si="8"/>
        <v>11.233830291570973</v>
      </c>
      <c r="AE61" s="1" t="s">
        <v>125</v>
      </c>
      <c r="AF61" s="4">
        <v>310</v>
      </c>
      <c r="AG61" s="4">
        <f t="shared" si="9"/>
        <v>155</v>
      </c>
      <c r="AH61" s="4">
        <v>310</v>
      </c>
      <c r="AI61" s="4">
        <f t="shared" si="10"/>
        <v>155</v>
      </c>
      <c r="AJ61" s="1">
        <v>15</v>
      </c>
      <c r="AK61">
        <f t="shared" si="11"/>
        <v>6.4155248977120567E-4</v>
      </c>
      <c r="AL61">
        <v>64.776319999999998</v>
      </c>
      <c r="AM61">
        <f t="shared" si="12"/>
        <v>10.09680751501735</v>
      </c>
    </row>
    <row r="62" spans="1:39" x14ac:dyDescent="0.2">
      <c r="A62" s="11" t="s">
        <v>61</v>
      </c>
      <c r="B62" s="8">
        <v>210</v>
      </c>
      <c r="C62" s="8">
        <v>105</v>
      </c>
      <c r="D62" s="8">
        <v>300</v>
      </c>
      <c r="E62" s="8">
        <v>150</v>
      </c>
      <c r="F62" s="8">
        <v>10</v>
      </c>
      <c r="G62" s="9">
        <v>4.4529999999999998E-4</v>
      </c>
      <c r="H62" s="9"/>
      <c r="I62" s="9"/>
      <c r="K62" s="1" t="s">
        <v>63</v>
      </c>
      <c r="L62" s="1">
        <v>270</v>
      </c>
      <c r="M62" s="1">
        <f t="shared" si="1"/>
        <v>135</v>
      </c>
      <c r="N62" s="1">
        <v>200</v>
      </c>
      <c r="O62" s="1">
        <f t="shared" si="2"/>
        <v>100</v>
      </c>
      <c r="P62" s="3">
        <v>20</v>
      </c>
      <c r="Q62">
        <f t="shared" si="3"/>
        <v>3.3929200658769766E-4</v>
      </c>
      <c r="R62">
        <v>56.646284000000001</v>
      </c>
      <c r="S62">
        <f t="shared" si="4"/>
        <v>16.695437234050633</v>
      </c>
      <c r="U62" s="1" t="s">
        <v>98</v>
      </c>
      <c r="V62" s="4">
        <v>270</v>
      </c>
      <c r="W62" s="4">
        <f t="shared" si="5"/>
        <v>135</v>
      </c>
      <c r="X62" s="4">
        <v>200</v>
      </c>
      <c r="Y62" s="4">
        <f t="shared" si="6"/>
        <v>100</v>
      </c>
      <c r="Z62" s="3">
        <v>60</v>
      </c>
      <c r="AA62">
        <f t="shared" si="7"/>
        <v>1.6964600329384883E-4</v>
      </c>
      <c r="AB62">
        <v>52.044240000000002</v>
      </c>
      <c r="AC62">
        <f t="shared" si="8"/>
        <v>30.67814094615164</v>
      </c>
      <c r="AE62" s="1" t="s">
        <v>142</v>
      </c>
      <c r="AF62" s="4">
        <v>210</v>
      </c>
      <c r="AG62" s="4">
        <f t="shared" si="9"/>
        <v>105</v>
      </c>
      <c r="AH62" s="4">
        <v>300</v>
      </c>
      <c r="AI62" s="4">
        <f t="shared" si="10"/>
        <v>150</v>
      </c>
      <c r="AJ62" s="3">
        <v>50</v>
      </c>
      <c r="AK62">
        <f t="shared" si="11"/>
        <v>2.4740042147019625E-4</v>
      </c>
      <c r="AL62">
        <v>60.698559000000003</v>
      </c>
      <c r="AM62">
        <f>AL62 * 0.0001/AK62</f>
        <v>24.534541468965209</v>
      </c>
    </row>
    <row r="63" spans="1:39" x14ac:dyDescent="0.2">
      <c r="A63" s="11" t="s">
        <v>62</v>
      </c>
      <c r="B63" s="4">
        <v>288</v>
      </c>
      <c r="C63" s="8">
        <v>144</v>
      </c>
      <c r="D63" s="4">
        <v>312</v>
      </c>
      <c r="E63" s="8">
        <v>156</v>
      </c>
      <c r="F63" s="8">
        <v>10</v>
      </c>
      <c r="G63" s="9">
        <v>6.3520000000000004E-4</v>
      </c>
      <c r="H63" s="9"/>
      <c r="I63" s="9"/>
      <c r="K63" s="1" t="s">
        <v>100</v>
      </c>
      <c r="L63" s="1">
        <v>260</v>
      </c>
      <c r="M63" s="1">
        <f t="shared" si="1"/>
        <v>130</v>
      </c>
      <c r="N63" s="1">
        <v>280</v>
      </c>
      <c r="O63" s="1">
        <f t="shared" si="2"/>
        <v>140</v>
      </c>
      <c r="P63" s="1">
        <v>12</v>
      </c>
      <c r="Q63">
        <f t="shared" si="3"/>
        <v>5.0315747939894118E-4</v>
      </c>
      <c r="R63">
        <v>58.408459999999998</v>
      </c>
      <c r="S63">
        <f t="shared" si="4"/>
        <v>11.608385523707851</v>
      </c>
      <c r="U63" s="1" t="s">
        <v>99</v>
      </c>
      <c r="V63" s="4">
        <v>260</v>
      </c>
      <c r="W63" s="4">
        <f t="shared" si="5"/>
        <v>130</v>
      </c>
      <c r="X63" s="4">
        <v>280</v>
      </c>
      <c r="Y63" s="4">
        <f t="shared" si="6"/>
        <v>140</v>
      </c>
      <c r="Z63" s="3">
        <v>45</v>
      </c>
      <c r="AA63">
        <f t="shared" si="7"/>
        <v>3.144734246243383E-4</v>
      </c>
      <c r="AB63">
        <v>27.848921000000001</v>
      </c>
      <c r="AC63">
        <f t="shared" si="8"/>
        <v>8.8557311427086702</v>
      </c>
    </row>
    <row r="64" spans="1:39" x14ac:dyDescent="0.2">
      <c r="A64" s="11" t="s">
        <v>63</v>
      </c>
      <c r="B64" s="8">
        <v>330</v>
      </c>
      <c r="C64" s="8">
        <v>165</v>
      </c>
      <c r="D64" s="8">
        <v>330</v>
      </c>
      <c r="E64" s="8">
        <v>165</v>
      </c>
      <c r="F64" s="8">
        <v>4</v>
      </c>
      <c r="G64" s="9">
        <v>8.2109999999999995E-4</v>
      </c>
      <c r="H64" s="9"/>
      <c r="I64" s="9"/>
      <c r="U64" s="1" t="s">
        <v>125</v>
      </c>
      <c r="V64" s="4">
        <v>260</v>
      </c>
      <c r="W64" s="4">
        <f t="shared" si="5"/>
        <v>130</v>
      </c>
      <c r="X64" s="4">
        <v>280</v>
      </c>
      <c r="Y64" s="4">
        <f t="shared" si="6"/>
        <v>140</v>
      </c>
      <c r="Z64" s="3">
        <v>40</v>
      </c>
      <c r="AA64">
        <f t="shared" si="7"/>
        <v>3.4306191777200539E-4</v>
      </c>
      <c r="AB64">
        <v>31.160281000000001</v>
      </c>
      <c r="AC64">
        <f t="shared" si="8"/>
        <v>9.0829903833012242</v>
      </c>
    </row>
    <row r="65" spans="21:29" x14ac:dyDescent="0.2">
      <c r="U65" s="1" t="s">
        <v>100</v>
      </c>
      <c r="V65" s="4">
        <v>260</v>
      </c>
      <c r="W65" s="4">
        <f t="shared" si="5"/>
        <v>130</v>
      </c>
      <c r="X65" s="4">
        <v>280</v>
      </c>
      <c r="Y65" s="4">
        <f t="shared" si="6"/>
        <v>140</v>
      </c>
      <c r="Z65" s="3">
        <v>85</v>
      </c>
      <c r="AA65">
        <f t="shared" si="7"/>
        <v>8.5765479443001348E-5</v>
      </c>
      <c r="AB65">
        <v>20.785657</v>
      </c>
      <c r="AC65">
        <f t="shared" si="8"/>
        <v>24.235458292766715</v>
      </c>
    </row>
    <row r="66" spans="21:29" x14ac:dyDescent="0.2">
      <c r="U66" s="1" t="s">
        <v>126</v>
      </c>
      <c r="V66" s="4">
        <v>260</v>
      </c>
      <c r="W66" s="4">
        <f t="shared" si="5"/>
        <v>130</v>
      </c>
      <c r="X66" s="4">
        <v>280</v>
      </c>
      <c r="Y66" s="4">
        <f t="shared" si="6"/>
        <v>140</v>
      </c>
      <c r="Z66" s="3">
        <v>40</v>
      </c>
      <c r="AA66">
        <f t="shared" si="7"/>
        <v>3.4306191777200539E-4</v>
      </c>
      <c r="AB66">
        <v>25.564281999999999</v>
      </c>
      <c r="AC66">
        <f t="shared" si="8"/>
        <v>7.4517982543867483</v>
      </c>
    </row>
  </sheetData>
  <mergeCells count="4">
    <mergeCell ref="A1:G1"/>
    <mergeCell ref="K1:S1"/>
    <mergeCell ref="U1:AC1"/>
    <mergeCell ref="AE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1kHz</vt:lpstr>
      <vt:lpstr>5Hz</vt:lpstr>
      <vt:lpstr>100kHz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Acharya</dc:creator>
  <cp:lastModifiedBy>Tran, Hien Minh</cp:lastModifiedBy>
  <dcterms:created xsi:type="dcterms:W3CDTF">2025-10-31T19:29:26Z</dcterms:created>
  <dcterms:modified xsi:type="dcterms:W3CDTF">2025-11-11T20:30:25Z</dcterms:modified>
</cp:coreProperties>
</file>